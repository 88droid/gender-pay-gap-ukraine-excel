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cfe25bb0b8245b3/LR_паквуккапр/Робочий стіл/"/>
    </mc:Choice>
  </mc:AlternateContent>
  <xr:revisionPtr revIDLastSave="1" documentId="14_{261DB2E7-330E-4467-B4EB-0B9C6BFA9290}" xr6:coauthVersionLast="47" xr6:coauthVersionMax="47" xr10:uidLastSave="{74969C56-BF4F-46E1-AA59-4D1F9F90A6F3}"/>
  <bookViews>
    <workbookView xWindow="-108" yWindow="-108" windowWidth="23256" windowHeight="12456" activeTab="1" xr2:uid="{00000000-000D-0000-FFFF-FFFF00000000}"/>
  </bookViews>
  <sheets>
    <sheet name="Аналіз" sheetId="2" r:id="rId1"/>
    <sheet name="t-test" sheetId="3" r:id="rId2"/>
    <sheet name="Raw data" sheetId="1" r:id="rId3"/>
  </sheets>
  <definedNames>
    <definedName name="_xlnm._FilterDatabase" localSheetId="2" hidden="1">'Raw data'!$A$1:$G$91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2" l="1"/>
  <c r="I25" i="2"/>
  <c r="I8" i="2"/>
  <c r="I21" i="2"/>
  <c r="I31" i="2"/>
  <c r="I10" i="2"/>
  <c r="I12" i="2"/>
  <c r="I17" i="2"/>
  <c r="I11" i="2"/>
  <c r="I22" i="2"/>
  <c r="I19" i="2"/>
  <c r="I28" i="2"/>
  <c r="I40" i="2"/>
  <c r="I39" i="2"/>
  <c r="I43" i="2"/>
  <c r="I41" i="2"/>
  <c r="I32" i="2"/>
  <c r="I2" i="2"/>
  <c r="I6" i="2"/>
  <c r="I4" i="2"/>
  <c r="I23" i="2"/>
  <c r="I3" i="2"/>
  <c r="I45" i="2"/>
  <c r="I38" i="2"/>
  <c r="I33" i="2"/>
  <c r="I42" i="2"/>
  <c r="I5" i="2"/>
  <c r="I44" i="2"/>
  <c r="I37" i="2"/>
  <c r="I36" i="2"/>
  <c r="I14" i="2"/>
  <c r="I29" i="2"/>
  <c r="I13" i="2"/>
  <c r="I16" i="2"/>
  <c r="I35" i="2"/>
  <c r="I27" i="2"/>
  <c r="I30" i="2"/>
  <c r="I24" i="2"/>
  <c r="I20" i="2"/>
  <c r="I18" i="2"/>
  <c r="I26" i="2"/>
  <c r="I7" i="2"/>
  <c r="I34" i="2"/>
  <c r="H15" i="2"/>
  <c r="H25" i="2"/>
  <c r="H8" i="2"/>
  <c r="H21" i="2"/>
  <c r="H31" i="2"/>
  <c r="H10" i="2"/>
  <c r="H12" i="2"/>
  <c r="H17" i="2"/>
  <c r="H11" i="2"/>
  <c r="H22" i="2"/>
  <c r="H19" i="2"/>
  <c r="H28" i="2"/>
  <c r="H40" i="2"/>
  <c r="H39" i="2"/>
  <c r="H43" i="2"/>
  <c r="H41" i="2"/>
  <c r="H32" i="2"/>
  <c r="H2" i="2"/>
  <c r="H6" i="2"/>
  <c r="H4" i="2"/>
  <c r="H23" i="2"/>
  <c r="H3" i="2"/>
  <c r="H45" i="2"/>
  <c r="H38" i="2"/>
  <c r="H33" i="2"/>
  <c r="H42" i="2"/>
  <c r="H5" i="2"/>
  <c r="H44" i="2"/>
  <c r="H37" i="2"/>
  <c r="H36" i="2"/>
  <c r="H14" i="2"/>
  <c r="H29" i="2"/>
  <c r="H13" i="2"/>
  <c r="H16" i="2"/>
  <c r="H35" i="2"/>
  <c r="H27" i="2"/>
  <c r="H30" i="2"/>
  <c r="H24" i="2"/>
  <c r="H20" i="2"/>
  <c r="H18" i="2"/>
  <c r="H26" i="2"/>
  <c r="H7" i="2"/>
  <c r="H34" i="2"/>
  <c r="I9" i="2"/>
  <c r="H9" i="2"/>
</calcChain>
</file>

<file path=xl/sharedStrings.xml><?xml version="1.0" encoding="utf-8"?>
<sst xmlns="http://schemas.openxmlformats.org/spreadsheetml/2006/main" count="616" uniqueCount="76">
  <si>
    <t>Показник</t>
  </si>
  <si>
    <t>Територіальний розріз</t>
  </si>
  <si>
    <t>Вид економічної діяльності</t>
  </si>
  <si>
    <t>Категорія розрізу</t>
  </si>
  <si>
    <t>Розріз</t>
  </si>
  <si>
    <t>2024</t>
  </si>
  <si>
    <t>2025</t>
  </si>
  <si>
    <t>Середньомісячна заробітна плата (номінальна) штатного працівника</t>
  </si>
  <si>
    <t>Україна</t>
  </si>
  <si>
    <t>Наукові дослідження та розробки</t>
  </si>
  <si>
    <t>Стать</t>
  </si>
  <si>
    <t>Жінка</t>
  </si>
  <si>
    <t>Функціювання бібліотек, архівів, музеїв та інших закладів культури</t>
  </si>
  <si>
    <t>Виробництво комп'ютерів, електронної та оптичної продукції</t>
  </si>
  <si>
    <t>Чоловік</t>
  </si>
  <si>
    <t>Водний транспорт</t>
  </si>
  <si>
    <t>Охорона здоров'я</t>
  </si>
  <si>
    <t>Добувна промисловість і розроблення кар'єрів</t>
  </si>
  <si>
    <t>Авіаційний транспорт</t>
  </si>
  <si>
    <t>Виробництво основних фармацевтичних продуктів і фармацевтичних препаратів</t>
  </si>
  <si>
    <t>Сільське господарство, лісове господарство та рибне господарство</t>
  </si>
  <si>
    <t>Діяльність у сфері творчості, мистецтва та розваг</t>
  </si>
  <si>
    <t>Виробництво електричного устатковання</t>
  </si>
  <si>
    <t>Виробництво машин і устатковання, н.в.і.у.</t>
  </si>
  <si>
    <t>Виробництво хімічних речовин і хімічної продукції</t>
  </si>
  <si>
    <t>Складське господарство та допоміжна діяльність у сфері транспорту</t>
  </si>
  <si>
    <t>Виробництво коксу та продуктів нафтоперероблення</t>
  </si>
  <si>
    <t>Поштова та кур'єрська діяльність</t>
  </si>
  <si>
    <t>Наземний і трубопровідний транспорт</t>
  </si>
  <si>
    <t>Добування кам'яного та бурого вугілля</t>
  </si>
  <si>
    <t xml:space="preserve">Сільське господарство та надання пов'язаних із ними послуг </t>
  </si>
  <si>
    <t>Промисловість</t>
  </si>
  <si>
    <t>Постачання електроенергії, газу, пари та кондиційованого повітря</t>
  </si>
  <si>
    <t>Транспорт, складське господарство, поштова та кур'єрська діяльність</t>
  </si>
  <si>
    <t>Будівництво</t>
  </si>
  <si>
    <t>Фінансова та страхова діяльність</t>
  </si>
  <si>
    <t>Виробництво гумових і пластмасових виробів, іншої неметалевої мінеральної продукції</t>
  </si>
  <si>
    <t>Операції з нерухомим майном</t>
  </si>
  <si>
    <t>Переробна промисловість</t>
  </si>
  <si>
    <t>Текстильне виробництво, виробництво одягу, шкіри, виробів зі шкіри та інших матеріалів</t>
  </si>
  <si>
    <t>Тимчасове розміщування й організація харчування</t>
  </si>
  <si>
    <t>Оптова та роздрібна торгівля; ремонт автотранспортних засобів і мотоциклів</t>
  </si>
  <si>
    <t xml:space="preserve">Виробництво автотранспортних засобів, причепів і напівпричепів та інших транспортних засобів </t>
  </si>
  <si>
    <t>Виробництво харчових продуктів, напоїв і тютюнових виробів</t>
  </si>
  <si>
    <t>Водопостачання; каналізація, поводження з відходами</t>
  </si>
  <si>
    <t>Виробництво меблів, іншої продукції; ремонт і монтаж машин і устатковання</t>
  </si>
  <si>
    <t>Виготовлення виробів з деревини, паперу та  поліграфічна діяльність</t>
  </si>
  <si>
    <t>Металургійне виробництво, виробництво готових металевих виробів, крім машин і устатковання</t>
  </si>
  <si>
    <t>Інформація та телекомунікації</t>
  </si>
  <si>
    <t>Мистецтво, спорт, розваги та відпочинок</t>
  </si>
  <si>
    <t>Надання інших видів послуг</t>
  </si>
  <si>
    <t>Державне управління й оборона; обов'язкове соціальне страхування</t>
  </si>
  <si>
    <t>Освіта</t>
  </si>
  <si>
    <t>Охорона здоров'я та надання соціальної допомоги</t>
  </si>
  <si>
    <t>Усього</t>
  </si>
  <si>
    <t>Діяльність у сфері адміністративного та допоміжного обслуговування</t>
  </si>
  <si>
    <t>Професійна, наукова та технічна діяльність</t>
  </si>
  <si>
    <t xml:space="preserve"> </t>
  </si>
  <si>
    <t>df</t>
  </si>
  <si>
    <t>Висновок.</t>
  </si>
  <si>
    <t xml:space="preserve">Аналіз розрахованих співвідношень заробітної плати чоловіків і жінок за видами економічної діяльності в Україні за 2024–2025 роки показує чітку структуру гендерної нерівності в оплаті праці.   Найбільший рівень нерівності спостерігається в галузях з високим рівнем доходу та промисловому секторі. Абсолютним лідером за розміром гендерного разриву є Добування кам'яного та бурого вугілля, де зарплата чоловіків перевищує зарплату жінок у 2,42 раза у 2024 році та у 2,20 раза у 2025 році. Високий рівень диспропорції також зафіксовано у сферах Мистецтва, спорту, розваг та відпочинку з перевищенням у 1,64–1,75 раза, Інформації та телекомунікацій у 1,55–1,58 раза, Оптової та роздрібної торгівлі у 1,53–1,56 раза, а також у Фінансовій та страховій діяльності у 1,42–1,52 раза. Загалом видно що справедливості немає, патріархат душить.  Натомість найменший рівень нерівності виявлено в соціально-бюджетній сфері. Найменший гендерний разрив спостерігається в галузях Надання інших видів послуг співвідношення становить 0,89–0,93, зарплата жінок трохи перевищує зарплату чоловіків, Освіти 1,02–1,04, Державного управління й оборони 1,09–1,12.  Загалом статистичний аналіз свідчить про наявність стійкої та системної гендерної нерівності в оплаті праці в Україні. Згідно з результатами парного t-тесту, середні зарплати чоловіків  25 860 грн  статистично значущо перевищують середні зарплати жінок  20 173 грн при високому рівні значущості (p &lt; 0,001). У майже всіх галузях чоловіки отримують вищу заробітну плату. </t>
  </si>
  <si>
    <t>Співвідношення Ч/Ж 2024</t>
  </si>
  <si>
    <t>Співвідношення Ч/Ж 2025</t>
  </si>
  <si>
    <t>Paired two-sample t-test for intermediates</t>
  </si>
  <si>
    <t>Variable 1</t>
  </si>
  <si>
    <t>Variable 2</t>
  </si>
  <si>
    <t>Average</t>
  </si>
  <si>
    <t>Variance</t>
  </si>
  <si>
    <t>Observations</t>
  </si>
  <si>
    <t>Pearson correlation</t>
  </si>
  <si>
    <t xml:space="preserve">Hypothetical mean difference
</t>
  </si>
  <si>
    <t>t-statistics</t>
  </si>
  <si>
    <t xml:space="preserve">P(T&lt;=t) Unilateral
</t>
  </si>
  <si>
    <t>t critical one-sided</t>
  </si>
  <si>
    <t>P(T&lt;=t) Bilateral</t>
  </si>
  <si>
    <t>t Critical Two-Way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</si>
</sst>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Aptos Display"/>
      <charset val="204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Жінки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Аналіз!$A$2:$A$45</c:f>
              <c:strCache>
                <c:ptCount val="44"/>
                <c:pt idx="0">
                  <c:v>Добування кам'яного та бурого вугілля</c:v>
                </c:pt>
                <c:pt idx="1">
                  <c:v>Мистецтво, спорт, розваги та відпочинок</c:v>
                </c:pt>
                <c:pt idx="2">
                  <c:v>Інформація та телекомунікації</c:v>
                </c:pt>
                <c:pt idx="3">
                  <c:v>Оптова та роздрібна торгівля; ремонт автотранспортних засобів і мотоциклів</c:v>
                </c:pt>
                <c:pt idx="4">
                  <c:v>Добувна промисловість і розроблення кар'єрів</c:v>
                </c:pt>
                <c:pt idx="5">
                  <c:v>Фінансова та страхова діяльність</c:v>
                </c:pt>
                <c:pt idx="6">
                  <c:v>Виробництво автотранспортних засобів, причепів і напівпричепів та інших транспортних засобів </c:v>
                </c:pt>
                <c:pt idx="7">
                  <c:v>Авіаційний транспорт</c:v>
                </c:pt>
                <c:pt idx="8">
                  <c:v>Виробництво коксу та продуктів нафтоперероблення</c:v>
                </c:pt>
                <c:pt idx="9">
                  <c:v>Виробництво меблів, іншої продукції; ремонт і монтаж машин і устатковання</c:v>
                </c:pt>
                <c:pt idx="10">
                  <c:v>Виробництво комп'ютерів, електронної та оптичної продукції</c:v>
                </c:pt>
                <c:pt idx="11">
                  <c:v>Поштова та кур'єрська діяльність</c:v>
                </c:pt>
                <c:pt idx="12">
                  <c:v>Переробна промисловість</c:v>
                </c:pt>
                <c:pt idx="13">
                  <c:v>Будівництво</c:v>
                </c:pt>
                <c:pt idx="14">
                  <c:v>Промисловість</c:v>
                </c:pt>
                <c:pt idx="15">
                  <c:v>Виробництво машин і устатковання, н.в.і.у.</c:v>
                </c:pt>
                <c:pt idx="16">
                  <c:v>Тимчасове розміщування й організація харчування</c:v>
                </c:pt>
                <c:pt idx="17">
                  <c:v>Виробництво харчових продуктів, напоїв і тютюнових виробів</c:v>
                </c:pt>
                <c:pt idx="18">
                  <c:v>Текстильне виробництво, виробництво одягу, шкіри, виробів зі шкіри та інших матеріалів</c:v>
                </c:pt>
                <c:pt idx="19">
                  <c:v>Виробництво гумових і пластмасових виробів, іншої неметалевої мінеральної продукції</c:v>
                </c:pt>
                <c:pt idx="20">
                  <c:v>Виробництво основних фармацевтичних продуктів і фармацевтичних препаратів</c:v>
                </c:pt>
                <c:pt idx="21">
                  <c:v>Металургійне виробництво, виробництво готових металевих виробів, крім машин і устатковання</c:v>
                </c:pt>
                <c:pt idx="22">
                  <c:v>Складське господарство та допоміжна діяльність у сфері транспорту</c:v>
                </c:pt>
                <c:pt idx="23">
                  <c:v>Виготовлення виробів з деревини, паперу та  поліграфічна діяльність</c:v>
                </c:pt>
                <c:pt idx="24">
                  <c:v>Транспорт, складське господарство, поштова та кур'єрська діяльність</c:v>
                </c:pt>
                <c:pt idx="25">
                  <c:v>Сільське господарство та надання пов'язаних із ними послуг </c:v>
                </c:pt>
                <c:pt idx="26">
                  <c:v>Виробництво хімічних речовин і хімічної продукції</c:v>
                </c:pt>
                <c:pt idx="27">
                  <c:v>Постачання електроенергії, газу, пари та кондиційованого повітря</c:v>
                </c:pt>
                <c:pt idx="28">
                  <c:v>Сільське господарство, лісове господарство та рибне господарство</c:v>
                </c:pt>
                <c:pt idx="29">
                  <c:v>Виробництво електричного устатковання</c:v>
                </c:pt>
                <c:pt idx="30">
                  <c:v>Діяльність у сфері творчості, мистецтва та розваг</c:v>
                </c:pt>
                <c:pt idx="31">
                  <c:v>Наукові дослідження та розробки</c:v>
                </c:pt>
                <c:pt idx="32">
                  <c:v>Функціювання бібліотек, архівів, музеїв та інших закладів культури</c:v>
                </c:pt>
                <c:pt idx="33">
                  <c:v>Професійна, наукова та технічна діяльність</c:v>
                </c:pt>
                <c:pt idx="34">
                  <c:v>Охорона здоров'я та надання соціальної допомоги</c:v>
                </c:pt>
                <c:pt idx="35">
                  <c:v>Охорона здоров'я</c:v>
                </c:pt>
                <c:pt idx="36">
                  <c:v>Наземний і трубопровідний транспорт</c:v>
                </c:pt>
                <c:pt idx="37">
                  <c:v>Водопостачання; каналізація, поводження з відходами</c:v>
                </c:pt>
                <c:pt idx="38">
                  <c:v>Водний транспорт</c:v>
                </c:pt>
                <c:pt idx="39">
                  <c:v>Діяльність у сфері адміністративного та допоміжного обслуговування</c:v>
                </c:pt>
                <c:pt idx="40">
                  <c:v>Операції з нерухомим майном</c:v>
                </c:pt>
                <c:pt idx="41">
                  <c:v>Державне управління й оборона; обов'язкове соціальне страхування</c:v>
                </c:pt>
                <c:pt idx="42">
                  <c:v>Освіта</c:v>
                </c:pt>
                <c:pt idx="43">
                  <c:v>Надання інших видів послуг</c:v>
                </c:pt>
              </c:strCache>
            </c:strRef>
          </c:cat>
          <c:val>
            <c:numRef>
              <c:f>Аналіз!$D$2:$D$45</c:f>
              <c:numCache>
                <c:formatCode>General</c:formatCode>
                <c:ptCount val="44"/>
                <c:pt idx="0">
                  <c:v>18369</c:v>
                </c:pt>
                <c:pt idx="1">
                  <c:v>14484</c:v>
                </c:pt>
                <c:pt idx="2">
                  <c:v>49268</c:v>
                </c:pt>
                <c:pt idx="3">
                  <c:v>25101</c:v>
                </c:pt>
                <c:pt idx="4">
                  <c:v>23680</c:v>
                </c:pt>
                <c:pt idx="5">
                  <c:v>45707</c:v>
                </c:pt>
                <c:pt idx="6">
                  <c:v>26507</c:v>
                </c:pt>
                <c:pt idx="7">
                  <c:v>45460</c:v>
                </c:pt>
                <c:pt idx="8">
                  <c:v>22514</c:v>
                </c:pt>
                <c:pt idx="9">
                  <c:v>21031</c:v>
                </c:pt>
                <c:pt idx="10">
                  <c:v>34149</c:v>
                </c:pt>
                <c:pt idx="11">
                  <c:v>17168</c:v>
                </c:pt>
                <c:pt idx="12">
                  <c:v>23555</c:v>
                </c:pt>
                <c:pt idx="13">
                  <c:v>17731</c:v>
                </c:pt>
                <c:pt idx="14">
                  <c:v>24025</c:v>
                </c:pt>
                <c:pt idx="15">
                  <c:v>22054</c:v>
                </c:pt>
                <c:pt idx="16">
                  <c:v>17662</c:v>
                </c:pt>
                <c:pt idx="17">
                  <c:v>22595</c:v>
                </c:pt>
                <c:pt idx="18">
                  <c:v>16281</c:v>
                </c:pt>
                <c:pt idx="19">
                  <c:v>21865</c:v>
                </c:pt>
                <c:pt idx="20">
                  <c:v>42421</c:v>
                </c:pt>
                <c:pt idx="21">
                  <c:v>26608</c:v>
                </c:pt>
                <c:pt idx="22">
                  <c:v>24379</c:v>
                </c:pt>
                <c:pt idx="23">
                  <c:v>20867</c:v>
                </c:pt>
                <c:pt idx="24">
                  <c:v>22564</c:v>
                </c:pt>
                <c:pt idx="25">
                  <c:v>20846</c:v>
                </c:pt>
                <c:pt idx="26">
                  <c:v>25446</c:v>
                </c:pt>
                <c:pt idx="27">
                  <c:v>29938</c:v>
                </c:pt>
                <c:pt idx="28">
                  <c:v>21266</c:v>
                </c:pt>
                <c:pt idx="29">
                  <c:v>22943</c:v>
                </c:pt>
                <c:pt idx="30">
                  <c:v>13617</c:v>
                </c:pt>
                <c:pt idx="31">
                  <c:v>23890</c:v>
                </c:pt>
                <c:pt idx="32">
                  <c:v>13851</c:v>
                </c:pt>
                <c:pt idx="33">
                  <c:v>31477</c:v>
                </c:pt>
                <c:pt idx="34">
                  <c:v>18036</c:v>
                </c:pt>
                <c:pt idx="35">
                  <c:v>18164</c:v>
                </c:pt>
                <c:pt idx="36">
                  <c:v>20911</c:v>
                </c:pt>
                <c:pt idx="37">
                  <c:v>17751</c:v>
                </c:pt>
                <c:pt idx="38">
                  <c:v>22984</c:v>
                </c:pt>
                <c:pt idx="39">
                  <c:v>18900</c:v>
                </c:pt>
                <c:pt idx="40">
                  <c:v>21857</c:v>
                </c:pt>
                <c:pt idx="41">
                  <c:v>32230</c:v>
                </c:pt>
                <c:pt idx="42">
                  <c:v>16033</c:v>
                </c:pt>
                <c:pt idx="43">
                  <c:v>30524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5-4972-A758-46DBD7CF3C2E}"/>
            </c:ext>
          </c:extLst>
        </c:ser>
        <c:ser>
          <c:idx val="1"/>
          <c:order val="1"/>
          <c:tx>
            <c:v>Чоловіки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Аналіз!$A$2:$A$45</c:f>
              <c:strCache>
                <c:ptCount val="44"/>
                <c:pt idx="0">
                  <c:v>Добування кам'яного та бурого вугілля</c:v>
                </c:pt>
                <c:pt idx="1">
                  <c:v>Мистецтво, спорт, розваги та відпочинок</c:v>
                </c:pt>
                <c:pt idx="2">
                  <c:v>Інформація та телекомунікації</c:v>
                </c:pt>
                <c:pt idx="3">
                  <c:v>Оптова та роздрібна торгівля; ремонт автотранспортних засобів і мотоциклів</c:v>
                </c:pt>
                <c:pt idx="4">
                  <c:v>Добувна промисловість і розроблення кар'єрів</c:v>
                </c:pt>
                <c:pt idx="5">
                  <c:v>Фінансова та страхова діяльність</c:v>
                </c:pt>
                <c:pt idx="6">
                  <c:v>Виробництво автотранспортних засобів, причепів і напівпричепів та інших транспортних засобів </c:v>
                </c:pt>
                <c:pt idx="7">
                  <c:v>Авіаційний транспорт</c:v>
                </c:pt>
                <c:pt idx="8">
                  <c:v>Виробництво коксу та продуктів нафтоперероблення</c:v>
                </c:pt>
                <c:pt idx="9">
                  <c:v>Виробництво меблів, іншої продукції; ремонт і монтаж машин і устатковання</c:v>
                </c:pt>
                <c:pt idx="10">
                  <c:v>Виробництво комп'ютерів, електронної та оптичної продукції</c:v>
                </c:pt>
                <c:pt idx="11">
                  <c:v>Поштова та кур'єрська діяльність</c:v>
                </c:pt>
                <c:pt idx="12">
                  <c:v>Переробна промисловість</c:v>
                </c:pt>
                <c:pt idx="13">
                  <c:v>Будівництво</c:v>
                </c:pt>
                <c:pt idx="14">
                  <c:v>Промисловість</c:v>
                </c:pt>
                <c:pt idx="15">
                  <c:v>Виробництво машин і устатковання, н.в.і.у.</c:v>
                </c:pt>
                <c:pt idx="16">
                  <c:v>Тимчасове розміщування й організація харчування</c:v>
                </c:pt>
                <c:pt idx="17">
                  <c:v>Виробництво харчових продуктів, напоїв і тютюнових виробів</c:v>
                </c:pt>
                <c:pt idx="18">
                  <c:v>Текстильне виробництво, виробництво одягу, шкіри, виробів зі шкіри та інших матеріалів</c:v>
                </c:pt>
                <c:pt idx="19">
                  <c:v>Виробництво гумових і пластмасових виробів, іншої неметалевої мінеральної продукції</c:v>
                </c:pt>
                <c:pt idx="20">
                  <c:v>Виробництво основних фармацевтичних продуктів і фармацевтичних препаратів</c:v>
                </c:pt>
                <c:pt idx="21">
                  <c:v>Металургійне виробництво, виробництво готових металевих виробів, крім машин і устатковання</c:v>
                </c:pt>
                <c:pt idx="22">
                  <c:v>Складське господарство та допоміжна діяльність у сфері транспорту</c:v>
                </c:pt>
                <c:pt idx="23">
                  <c:v>Виготовлення виробів з деревини, паперу та  поліграфічна діяльність</c:v>
                </c:pt>
                <c:pt idx="24">
                  <c:v>Транспорт, складське господарство, поштова та кур'єрська діяльність</c:v>
                </c:pt>
                <c:pt idx="25">
                  <c:v>Сільське господарство та надання пов'язаних із ними послуг </c:v>
                </c:pt>
                <c:pt idx="26">
                  <c:v>Виробництво хімічних речовин і хімічної продукції</c:v>
                </c:pt>
                <c:pt idx="27">
                  <c:v>Постачання електроенергії, газу, пари та кондиційованого повітря</c:v>
                </c:pt>
                <c:pt idx="28">
                  <c:v>Сільське господарство, лісове господарство та рибне господарство</c:v>
                </c:pt>
                <c:pt idx="29">
                  <c:v>Виробництво електричного устатковання</c:v>
                </c:pt>
                <c:pt idx="30">
                  <c:v>Діяльність у сфері творчості, мистецтва та розваг</c:v>
                </c:pt>
                <c:pt idx="31">
                  <c:v>Наукові дослідження та розробки</c:v>
                </c:pt>
                <c:pt idx="32">
                  <c:v>Функціювання бібліотек, архівів, музеїв та інших закладів культури</c:v>
                </c:pt>
                <c:pt idx="33">
                  <c:v>Професійна, наукова та технічна діяльність</c:v>
                </c:pt>
                <c:pt idx="34">
                  <c:v>Охорона здоров'я та надання соціальної допомоги</c:v>
                </c:pt>
                <c:pt idx="35">
                  <c:v>Охорона здоров'я</c:v>
                </c:pt>
                <c:pt idx="36">
                  <c:v>Наземний і трубопровідний транспорт</c:v>
                </c:pt>
                <c:pt idx="37">
                  <c:v>Водопостачання; каналізація, поводження з відходами</c:v>
                </c:pt>
                <c:pt idx="38">
                  <c:v>Водний транспорт</c:v>
                </c:pt>
                <c:pt idx="39">
                  <c:v>Діяльність у сфері адміністративного та допоміжного обслуговування</c:v>
                </c:pt>
                <c:pt idx="40">
                  <c:v>Операції з нерухомим майном</c:v>
                </c:pt>
                <c:pt idx="41">
                  <c:v>Державне управління й оборона; обов'язкове соціальне страхування</c:v>
                </c:pt>
                <c:pt idx="42">
                  <c:v>Освіта</c:v>
                </c:pt>
                <c:pt idx="43">
                  <c:v>Надання інших видів послуг</c:v>
                </c:pt>
              </c:strCache>
            </c:strRef>
          </c:cat>
          <c:val>
            <c:numRef>
              <c:f>Аналіз!$G$2:$G$45</c:f>
              <c:numCache>
                <c:formatCode>General</c:formatCode>
                <c:ptCount val="44"/>
                <c:pt idx="0">
                  <c:v>40485</c:v>
                </c:pt>
                <c:pt idx="1">
                  <c:v>25411</c:v>
                </c:pt>
                <c:pt idx="2">
                  <c:v>77807</c:v>
                </c:pt>
                <c:pt idx="3">
                  <c:v>39065</c:v>
                </c:pt>
                <c:pt idx="4">
                  <c:v>36022</c:v>
                </c:pt>
                <c:pt idx="5">
                  <c:v>69513</c:v>
                </c:pt>
                <c:pt idx="6">
                  <c:v>39456</c:v>
                </c:pt>
                <c:pt idx="7">
                  <c:v>64915</c:v>
                </c:pt>
                <c:pt idx="8">
                  <c:v>31192</c:v>
                </c:pt>
                <c:pt idx="9">
                  <c:v>28294</c:v>
                </c:pt>
                <c:pt idx="10">
                  <c:v>45793</c:v>
                </c:pt>
                <c:pt idx="11">
                  <c:v>22962</c:v>
                </c:pt>
                <c:pt idx="12">
                  <c:v>31276</c:v>
                </c:pt>
                <c:pt idx="13">
                  <c:v>23478</c:v>
                </c:pt>
                <c:pt idx="14">
                  <c:v>31689</c:v>
                </c:pt>
                <c:pt idx="15">
                  <c:v>28998</c:v>
                </c:pt>
                <c:pt idx="16">
                  <c:v>23082</c:v>
                </c:pt>
                <c:pt idx="17">
                  <c:v>29475</c:v>
                </c:pt>
                <c:pt idx="18">
                  <c:v>20899</c:v>
                </c:pt>
                <c:pt idx="19">
                  <c:v>27559</c:v>
                </c:pt>
                <c:pt idx="20">
                  <c:v>53262</c:v>
                </c:pt>
                <c:pt idx="21">
                  <c:v>32949</c:v>
                </c:pt>
                <c:pt idx="22">
                  <c:v>30148</c:v>
                </c:pt>
                <c:pt idx="23">
                  <c:v>25570</c:v>
                </c:pt>
                <c:pt idx="24">
                  <c:v>27634</c:v>
                </c:pt>
                <c:pt idx="25">
                  <c:v>25279</c:v>
                </c:pt>
                <c:pt idx="26">
                  <c:v>30567</c:v>
                </c:pt>
                <c:pt idx="27">
                  <c:v>35960</c:v>
                </c:pt>
                <c:pt idx="28">
                  <c:v>25353</c:v>
                </c:pt>
                <c:pt idx="29">
                  <c:v>27221</c:v>
                </c:pt>
                <c:pt idx="30">
                  <c:v>16097</c:v>
                </c:pt>
                <c:pt idx="31">
                  <c:v>28101</c:v>
                </c:pt>
                <c:pt idx="32">
                  <c:v>16242</c:v>
                </c:pt>
                <c:pt idx="33">
                  <c:v>36875</c:v>
                </c:pt>
                <c:pt idx="34">
                  <c:v>20885</c:v>
                </c:pt>
                <c:pt idx="35">
                  <c:v>20844</c:v>
                </c:pt>
                <c:pt idx="36">
                  <c:v>23899</c:v>
                </c:pt>
                <c:pt idx="37">
                  <c:v>19971</c:v>
                </c:pt>
                <c:pt idx="38">
                  <c:v>25761</c:v>
                </c:pt>
                <c:pt idx="39">
                  <c:v>20935</c:v>
                </c:pt>
                <c:pt idx="40">
                  <c:v>24019</c:v>
                </c:pt>
                <c:pt idx="41">
                  <c:v>34996</c:v>
                </c:pt>
                <c:pt idx="42">
                  <c:v>16382</c:v>
                </c:pt>
                <c:pt idx="43">
                  <c:v>28408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5-4972-A758-46DBD7CF3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071344"/>
        <c:axId val="150069904"/>
      </c:barChart>
      <c:catAx>
        <c:axId val="15007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069904"/>
        <c:crosses val="autoZero"/>
        <c:auto val="1"/>
        <c:lblAlgn val="ctr"/>
        <c:lblOffset val="100"/>
        <c:noMultiLvlLbl val="0"/>
      </c:catAx>
      <c:valAx>
        <c:axId val="15006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07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Жінки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Аналіз!$A$2:$A$45</c:f>
              <c:strCache>
                <c:ptCount val="44"/>
                <c:pt idx="0">
                  <c:v>Добування кам'яного та бурого вугілля</c:v>
                </c:pt>
                <c:pt idx="1">
                  <c:v>Мистецтво, спорт, розваги та відпочинок</c:v>
                </c:pt>
                <c:pt idx="2">
                  <c:v>Інформація та телекомунікації</c:v>
                </c:pt>
                <c:pt idx="3">
                  <c:v>Оптова та роздрібна торгівля; ремонт автотранспортних засобів і мотоциклів</c:v>
                </c:pt>
                <c:pt idx="4">
                  <c:v>Добувна промисловість і розроблення кар'єрів</c:v>
                </c:pt>
                <c:pt idx="5">
                  <c:v>Фінансова та страхова діяльність</c:v>
                </c:pt>
                <c:pt idx="6">
                  <c:v>Виробництво автотранспортних засобів, причепів і напівпричепів та інших транспортних засобів </c:v>
                </c:pt>
                <c:pt idx="7">
                  <c:v>Авіаційний транспорт</c:v>
                </c:pt>
                <c:pt idx="8">
                  <c:v>Виробництво коксу та продуктів нафтоперероблення</c:v>
                </c:pt>
                <c:pt idx="9">
                  <c:v>Виробництво меблів, іншої продукції; ремонт і монтаж машин і устатковання</c:v>
                </c:pt>
                <c:pt idx="10">
                  <c:v>Виробництво комп'ютерів, електронної та оптичної продукції</c:v>
                </c:pt>
                <c:pt idx="11">
                  <c:v>Поштова та кур'єрська діяльність</c:v>
                </c:pt>
                <c:pt idx="12">
                  <c:v>Переробна промисловість</c:v>
                </c:pt>
                <c:pt idx="13">
                  <c:v>Будівництво</c:v>
                </c:pt>
                <c:pt idx="14">
                  <c:v>Промисловість</c:v>
                </c:pt>
                <c:pt idx="15">
                  <c:v>Виробництво машин і устатковання, н.в.і.у.</c:v>
                </c:pt>
                <c:pt idx="16">
                  <c:v>Тимчасове розміщування й організація харчування</c:v>
                </c:pt>
                <c:pt idx="17">
                  <c:v>Виробництво харчових продуктів, напоїв і тютюнових виробів</c:v>
                </c:pt>
                <c:pt idx="18">
                  <c:v>Текстильне виробництво, виробництво одягу, шкіри, виробів зі шкіри та інших матеріалів</c:v>
                </c:pt>
                <c:pt idx="19">
                  <c:v>Виробництво гумових і пластмасових виробів, іншої неметалевої мінеральної продукції</c:v>
                </c:pt>
                <c:pt idx="20">
                  <c:v>Виробництво основних фармацевтичних продуктів і фармацевтичних препаратів</c:v>
                </c:pt>
                <c:pt idx="21">
                  <c:v>Металургійне виробництво, виробництво готових металевих виробів, крім машин і устатковання</c:v>
                </c:pt>
                <c:pt idx="22">
                  <c:v>Складське господарство та допоміжна діяльність у сфері транспорту</c:v>
                </c:pt>
                <c:pt idx="23">
                  <c:v>Виготовлення виробів з деревини, паперу та  поліграфічна діяльність</c:v>
                </c:pt>
                <c:pt idx="24">
                  <c:v>Транспорт, складське господарство, поштова та кур'єрська діяльність</c:v>
                </c:pt>
                <c:pt idx="25">
                  <c:v>Сільське господарство та надання пов'язаних із ними послуг </c:v>
                </c:pt>
                <c:pt idx="26">
                  <c:v>Виробництво хімічних речовин і хімічної продукції</c:v>
                </c:pt>
                <c:pt idx="27">
                  <c:v>Постачання електроенергії, газу, пари та кондиційованого повітря</c:v>
                </c:pt>
                <c:pt idx="28">
                  <c:v>Сільське господарство, лісове господарство та рибне господарство</c:v>
                </c:pt>
                <c:pt idx="29">
                  <c:v>Виробництво електричного устатковання</c:v>
                </c:pt>
                <c:pt idx="30">
                  <c:v>Діяльність у сфері творчості, мистецтва та розваг</c:v>
                </c:pt>
                <c:pt idx="31">
                  <c:v>Наукові дослідження та розробки</c:v>
                </c:pt>
                <c:pt idx="32">
                  <c:v>Функціювання бібліотек, архівів, музеїв та інших закладів культури</c:v>
                </c:pt>
                <c:pt idx="33">
                  <c:v>Професійна, наукова та технічна діяльність</c:v>
                </c:pt>
                <c:pt idx="34">
                  <c:v>Охорона здоров'я та надання соціальної допомоги</c:v>
                </c:pt>
                <c:pt idx="35">
                  <c:v>Охорона здоров'я</c:v>
                </c:pt>
                <c:pt idx="36">
                  <c:v>Наземний і трубопровідний транспорт</c:v>
                </c:pt>
                <c:pt idx="37">
                  <c:v>Водопостачання; каналізація, поводження з відходами</c:v>
                </c:pt>
                <c:pt idx="38">
                  <c:v>Водний транспорт</c:v>
                </c:pt>
                <c:pt idx="39">
                  <c:v>Діяльність у сфері адміністративного та допоміжного обслуговування</c:v>
                </c:pt>
                <c:pt idx="40">
                  <c:v>Операції з нерухомим майном</c:v>
                </c:pt>
                <c:pt idx="41">
                  <c:v>Державне управління й оборона; обов'язкове соціальне страхування</c:v>
                </c:pt>
                <c:pt idx="42">
                  <c:v>Освіта</c:v>
                </c:pt>
                <c:pt idx="43">
                  <c:v>Надання інших видів послуг</c:v>
                </c:pt>
              </c:strCache>
            </c:strRef>
          </c:cat>
          <c:val>
            <c:numRef>
              <c:f>Аналіз!$C$2:$C$45</c:f>
              <c:numCache>
                <c:formatCode>General</c:formatCode>
                <c:ptCount val="44"/>
                <c:pt idx="0">
                  <c:v>14781</c:v>
                </c:pt>
                <c:pt idx="1">
                  <c:v>13156</c:v>
                </c:pt>
                <c:pt idx="2">
                  <c:v>40245</c:v>
                </c:pt>
                <c:pt idx="3">
                  <c:v>20483</c:v>
                </c:pt>
                <c:pt idx="4">
                  <c:v>18887</c:v>
                </c:pt>
                <c:pt idx="5">
                  <c:v>36088</c:v>
                </c:pt>
                <c:pt idx="6">
                  <c:v>20624</c:v>
                </c:pt>
                <c:pt idx="7">
                  <c:v>37259</c:v>
                </c:pt>
                <c:pt idx="8">
                  <c:v>17849</c:v>
                </c:pt>
                <c:pt idx="9">
                  <c:v>16952</c:v>
                </c:pt>
                <c:pt idx="10">
                  <c:v>27245</c:v>
                </c:pt>
                <c:pt idx="11">
                  <c:v>15245</c:v>
                </c:pt>
                <c:pt idx="12">
                  <c:v>19047</c:v>
                </c:pt>
                <c:pt idx="13">
                  <c:v>14926</c:v>
                </c:pt>
                <c:pt idx="14">
                  <c:v>19621</c:v>
                </c:pt>
                <c:pt idx="15">
                  <c:v>16752</c:v>
                </c:pt>
                <c:pt idx="16">
                  <c:v>14889</c:v>
                </c:pt>
                <c:pt idx="17">
                  <c:v>18424</c:v>
                </c:pt>
                <c:pt idx="18">
                  <c:v>13793</c:v>
                </c:pt>
                <c:pt idx="19">
                  <c:v>17593</c:v>
                </c:pt>
                <c:pt idx="20">
                  <c:v>36518</c:v>
                </c:pt>
                <c:pt idx="21">
                  <c:v>22419</c:v>
                </c:pt>
                <c:pt idx="22">
                  <c:v>20124</c:v>
                </c:pt>
                <c:pt idx="23">
                  <c:v>17401</c:v>
                </c:pt>
                <c:pt idx="24">
                  <c:v>18854</c:v>
                </c:pt>
                <c:pt idx="25">
                  <c:v>15386</c:v>
                </c:pt>
                <c:pt idx="26">
                  <c:v>16276</c:v>
                </c:pt>
                <c:pt idx="27">
                  <c:v>24620</c:v>
                </c:pt>
                <c:pt idx="28">
                  <c:v>15857</c:v>
                </c:pt>
                <c:pt idx="29">
                  <c:v>18589</c:v>
                </c:pt>
                <c:pt idx="30">
                  <c:v>12384</c:v>
                </c:pt>
                <c:pt idx="31">
                  <c:v>20348</c:v>
                </c:pt>
                <c:pt idx="32">
                  <c:v>12705</c:v>
                </c:pt>
                <c:pt idx="33">
                  <c:v>26198</c:v>
                </c:pt>
                <c:pt idx="34">
                  <c:v>16452</c:v>
                </c:pt>
                <c:pt idx="35">
                  <c:v>16725</c:v>
                </c:pt>
                <c:pt idx="36">
                  <c:v>17670</c:v>
                </c:pt>
                <c:pt idx="37">
                  <c:v>15595</c:v>
                </c:pt>
                <c:pt idx="38">
                  <c:v>25418</c:v>
                </c:pt>
                <c:pt idx="39">
                  <c:v>16856</c:v>
                </c:pt>
                <c:pt idx="40">
                  <c:v>17910</c:v>
                </c:pt>
                <c:pt idx="41">
                  <c:v>28000</c:v>
                </c:pt>
                <c:pt idx="42">
                  <c:v>14469</c:v>
                </c:pt>
                <c:pt idx="43">
                  <c:v>26988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C-4BF7-91FF-5F4F03C68B9A}"/>
            </c:ext>
          </c:extLst>
        </c:ser>
        <c:ser>
          <c:idx val="1"/>
          <c:order val="1"/>
          <c:tx>
            <c:v>Чоловіки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Аналіз!$A$2:$A$45</c:f>
              <c:strCache>
                <c:ptCount val="44"/>
                <c:pt idx="0">
                  <c:v>Добування кам'яного та бурого вугілля</c:v>
                </c:pt>
                <c:pt idx="1">
                  <c:v>Мистецтво, спорт, розваги та відпочинок</c:v>
                </c:pt>
                <c:pt idx="2">
                  <c:v>Інформація та телекомунікації</c:v>
                </c:pt>
                <c:pt idx="3">
                  <c:v>Оптова та роздрібна торгівля; ремонт автотранспортних засобів і мотоциклів</c:v>
                </c:pt>
                <c:pt idx="4">
                  <c:v>Добувна промисловість і розроблення кар'єрів</c:v>
                </c:pt>
                <c:pt idx="5">
                  <c:v>Фінансова та страхова діяльність</c:v>
                </c:pt>
                <c:pt idx="6">
                  <c:v>Виробництво автотранспортних засобів, причепів і напівпричепів та інших транспортних засобів </c:v>
                </c:pt>
                <c:pt idx="7">
                  <c:v>Авіаційний транспорт</c:v>
                </c:pt>
                <c:pt idx="8">
                  <c:v>Виробництво коксу та продуктів нафтоперероблення</c:v>
                </c:pt>
                <c:pt idx="9">
                  <c:v>Виробництво меблів, іншої продукції; ремонт і монтаж машин і устатковання</c:v>
                </c:pt>
                <c:pt idx="10">
                  <c:v>Виробництво комп'ютерів, електронної та оптичної продукції</c:v>
                </c:pt>
                <c:pt idx="11">
                  <c:v>Поштова та кур'єрська діяльність</c:v>
                </c:pt>
                <c:pt idx="12">
                  <c:v>Переробна промисловість</c:v>
                </c:pt>
                <c:pt idx="13">
                  <c:v>Будівництво</c:v>
                </c:pt>
                <c:pt idx="14">
                  <c:v>Промисловість</c:v>
                </c:pt>
                <c:pt idx="15">
                  <c:v>Виробництво машин і устатковання, н.в.і.у.</c:v>
                </c:pt>
                <c:pt idx="16">
                  <c:v>Тимчасове розміщування й організація харчування</c:v>
                </c:pt>
                <c:pt idx="17">
                  <c:v>Виробництво харчових продуктів, напоїв і тютюнових виробів</c:v>
                </c:pt>
                <c:pt idx="18">
                  <c:v>Текстильне виробництво, виробництво одягу, шкіри, виробів зі шкіри та інших матеріалів</c:v>
                </c:pt>
                <c:pt idx="19">
                  <c:v>Виробництво гумових і пластмасових виробів, іншої неметалевої мінеральної продукції</c:v>
                </c:pt>
                <c:pt idx="20">
                  <c:v>Виробництво основних фармацевтичних продуктів і фармацевтичних препаратів</c:v>
                </c:pt>
                <c:pt idx="21">
                  <c:v>Металургійне виробництво, виробництво готових металевих виробів, крім машин і устатковання</c:v>
                </c:pt>
                <c:pt idx="22">
                  <c:v>Складське господарство та допоміжна діяльність у сфері транспорту</c:v>
                </c:pt>
                <c:pt idx="23">
                  <c:v>Виготовлення виробів з деревини, паперу та  поліграфічна діяльність</c:v>
                </c:pt>
                <c:pt idx="24">
                  <c:v>Транспорт, складське господарство, поштова та кур'єрська діяльність</c:v>
                </c:pt>
                <c:pt idx="25">
                  <c:v>Сільське господарство та надання пов'язаних із ними послуг </c:v>
                </c:pt>
                <c:pt idx="26">
                  <c:v>Виробництво хімічних речовин і хімічної продукції</c:v>
                </c:pt>
                <c:pt idx="27">
                  <c:v>Постачання електроенергії, газу, пари та кондиційованого повітря</c:v>
                </c:pt>
                <c:pt idx="28">
                  <c:v>Сільське господарство, лісове господарство та рибне господарство</c:v>
                </c:pt>
                <c:pt idx="29">
                  <c:v>Виробництво електричного устатковання</c:v>
                </c:pt>
                <c:pt idx="30">
                  <c:v>Діяльність у сфері творчості, мистецтва та розваг</c:v>
                </c:pt>
                <c:pt idx="31">
                  <c:v>Наукові дослідження та розробки</c:v>
                </c:pt>
                <c:pt idx="32">
                  <c:v>Функціювання бібліотек, архівів, музеїв та інших закладів культури</c:v>
                </c:pt>
                <c:pt idx="33">
                  <c:v>Професійна, наукова та технічна діяльність</c:v>
                </c:pt>
                <c:pt idx="34">
                  <c:v>Охорона здоров'я та надання соціальної допомоги</c:v>
                </c:pt>
                <c:pt idx="35">
                  <c:v>Охорона здоров'я</c:v>
                </c:pt>
                <c:pt idx="36">
                  <c:v>Наземний і трубопровідний транспорт</c:v>
                </c:pt>
                <c:pt idx="37">
                  <c:v>Водопостачання; каналізація, поводження з відходами</c:v>
                </c:pt>
                <c:pt idx="38">
                  <c:v>Водний транспорт</c:v>
                </c:pt>
                <c:pt idx="39">
                  <c:v>Діяльність у сфері адміністративного та допоміжного обслуговування</c:v>
                </c:pt>
                <c:pt idx="40">
                  <c:v>Операції з нерухомим майном</c:v>
                </c:pt>
                <c:pt idx="41">
                  <c:v>Державне управління й оборона; обов'язкове соціальне страхування</c:v>
                </c:pt>
                <c:pt idx="42">
                  <c:v>Освіта</c:v>
                </c:pt>
                <c:pt idx="43">
                  <c:v>Надання інших видів послуг</c:v>
                </c:pt>
              </c:strCache>
            </c:strRef>
          </c:cat>
          <c:val>
            <c:numRef>
              <c:f>Аналіз!$F$2:$F$45</c:f>
              <c:numCache>
                <c:formatCode>General</c:formatCode>
                <c:ptCount val="44"/>
                <c:pt idx="0">
                  <c:v>35748</c:v>
                </c:pt>
                <c:pt idx="1">
                  <c:v>21545</c:v>
                </c:pt>
                <c:pt idx="2">
                  <c:v>62339</c:v>
                </c:pt>
                <c:pt idx="3">
                  <c:v>31321</c:v>
                </c:pt>
                <c:pt idx="4">
                  <c:v>30427</c:v>
                </c:pt>
                <c:pt idx="5">
                  <c:v>51244</c:v>
                </c:pt>
                <c:pt idx="6">
                  <c:v>29212</c:v>
                </c:pt>
                <c:pt idx="7">
                  <c:v>47470</c:v>
                </c:pt>
                <c:pt idx="8">
                  <c:v>25776</c:v>
                </c:pt>
                <c:pt idx="9">
                  <c:v>22916</c:v>
                </c:pt>
                <c:pt idx="10">
                  <c:v>38358</c:v>
                </c:pt>
                <c:pt idx="11">
                  <c:v>22534</c:v>
                </c:pt>
                <c:pt idx="12">
                  <c:v>24617</c:v>
                </c:pt>
                <c:pt idx="13">
                  <c:v>17466</c:v>
                </c:pt>
                <c:pt idx="14">
                  <c:v>25586</c:v>
                </c:pt>
                <c:pt idx="15">
                  <c:v>21358</c:v>
                </c:pt>
                <c:pt idx="16">
                  <c:v>17662</c:v>
                </c:pt>
                <c:pt idx="17">
                  <c:v>24089</c:v>
                </c:pt>
                <c:pt idx="18">
                  <c:v>16872</c:v>
                </c:pt>
                <c:pt idx="19">
                  <c:v>21343</c:v>
                </c:pt>
                <c:pt idx="20">
                  <c:v>47418</c:v>
                </c:pt>
                <c:pt idx="21">
                  <c:v>27226</c:v>
                </c:pt>
                <c:pt idx="22">
                  <c:v>25415</c:v>
                </c:pt>
                <c:pt idx="23">
                  <c:v>20468</c:v>
                </c:pt>
                <c:pt idx="24">
                  <c:v>23088</c:v>
                </c:pt>
                <c:pt idx="25">
                  <c:v>18751</c:v>
                </c:pt>
                <c:pt idx="26">
                  <c:v>20618</c:v>
                </c:pt>
                <c:pt idx="27">
                  <c:v>29354</c:v>
                </c:pt>
                <c:pt idx="28">
                  <c:v>19022</c:v>
                </c:pt>
                <c:pt idx="29">
                  <c:v>21695</c:v>
                </c:pt>
                <c:pt idx="30">
                  <c:v>14737</c:v>
                </c:pt>
                <c:pt idx="31">
                  <c:v>24836</c:v>
                </c:pt>
                <c:pt idx="32">
                  <c:v>14717</c:v>
                </c:pt>
                <c:pt idx="33">
                  <c:v>32532</c:v>
                </c:pt>
                <c:pt idx="34">
                  <c:v>18591</c:v>
                </c:pt>
                <c:pt idx="35">
                  <c:v>18779</c:v>
                </c:pt>
                <c:pt idx="36">
                  <c:v>20005</c:v>
                </c:pt>
                <c:pt idx="37">
                  <c:v>17567</c:v>
                </c:pt>
                <c:pt idx="38">
                  <c:v>25877</c:v>
                </c:pt>
                <c:pt idx="39">
                  <c:v>18021</c:v>
                </c:pt>
                <c:pt idx="40">
                  <c:v>20910</c:v>
                </c:pt>
                <c:pt idx="41">
                  <c:v>31336</c:v>
                </c:pt>
                <c:pt idx="42">
                  <c:v>15003</c:v>
                </c:pt>
                <c:pt idx="43">
                  <c:v>24005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C-4BF7-91FF-5F4F03C6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8066608"/>
        <c:axId val="238065168"/>
      </c:barChart>
      <c:catAx>
        <c:axId val="23806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065168"/>
        <c:crosses val="autoZero"/>
        <c:auto val="1"/>
        <c:lblAlgn val="ctr"/>
        <c:lblOffset val="100"/>
        <c:noMultiLvlLbl val="0"/>
      </c:catAx>
      <c:valAx>
        <c:axId val="23806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80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598391</xdr:colOff>
      <xdr:row>1</xdr:row>
      <xdr:rowOff>11640</xdr:rowOff>
    </xdr:from>
    <xdr:to>
      <xdr:col>24</xdr:col>
      <xdr:colOff>244894</xdr:colOff>
      <xdr:row>19</xdr:row>
      <xdr:rowOff>97377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C28EB19-AD2E-C3FC-DE8B-BF959E1DF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53878</xdr:colOff>
      <xdr:row>1</xdr:row>
      <xdr:rowOff>0</xdr:rowOff>
    </xdr:from>
    <xdr:to>
      <xdr:col>16</xdr:col>
      <xdr:colOff>369454</xdr:colOff>
      <xdr:row>19</xdr:row>
      <xdr:rowOff>70812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ED84543-B49A-BEA9-9DDD-C3849C875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39EF-6ECB-4D50-AFEB-F3BB2D6910C2}">
  <dimension ref="A1:S45"/>
  <sheetViews>
    <sheetView zoomScale="82" zoomScaleNormal="80" workbookViewId="0">
      <selection activeCell="J26" sqref="J26"/>
    </sheetView>
  </sheetViews>
  <sheetFormatPr defaultRowHeight="13.8"/>
  <cols>
    <col min="8" max="8" width="11.8984375" customWidth="1"/>
    <col min="9" max="9" width="11.296875" customWidth="1"/>
    <col min="10" max="10" width="8.8984375" customWidth="1"/>
    <col min="11" max="11" width="10.59765625" customWidth="1"/>
    <col min="19" max="19" width="14.296875" customWidth="1"/>
  </cols>
  <sheetData>
    <row r="1" spans="1:9">
      <c r="A1" t="s">
        <v>2</v>
      </c>
      <c r="B1" t="s">
        <v>4</v>
      </c>
      <c r="C1" t="s">
        <v>5</v>
      </c>
      <c r="D1" t="s">
        <v>6</v>
      </c>
      <c r="E1" t="s">
        <v>4</v>
      </c>
      <c r="F1" t="s">
        <v>5</v>
      </c>
      <c r="G1" t="s">
        <v>6</v>
      </c>
      <c r="H1" t="s">
        <v>61</v>
      </c>
      <c r="I1" t="s">
        <v>62</v>
      </c>
    </row>
    <row r="2" spans="1:9">
      <c r="A2" t="s">
        <v>29</v>
      </c>
      <c r="B2" t="s">
        <v>11</v>
      </c>
      <c r="C2">
        <v>14781</v>
      </c>
      <c r="D2">
        <v>18369</v>
      </c>
      <c r="E2" t="s">
        <v>14</v>
      </c>
      <c r="F2">
        <v>35748</v>
      </c>
      <c r="G2">
        <v>40485</v>
      </c>
      <c r="H2" s="1">
        <f t="shared" ref="H2:H45" si="0">F2/C2</f>
        <v>2.4185102496448141</v>
      </c>
      <c r="I2" s="1">
        <f t="shared" ref="I2:I45" si="1">G2/D2</f>
        <v>2.2039849746856115</v>
      </c>
    </row>
    <row r="3" spans="1:9">
      <c r="A3" t="s">
        <v>49</v>
      </c>
      <c r="B3" t="s">
        <v>11</v>
      </c>
      <c r="C3">
        <v>13156</v>
      </c>
      <c r="D3">
        <v>14484</v>
      </c>
      <c r="E3" t="s">
        <v>14</v>
      </c>
      <c r="F3">
        <v>21545</v>
      </c>
      <c r="G3">
        <v>25411</v>
      </c>
      <c r="H3" s="1">
        <f t="shared" si="0"/>
        <v>1.6376558224384312</v>
      </c>
      <c r="I3" s="1">
        <f t="shared" si="1"/>
        <v>1.7544186688760011</v>
      </c>
    </row>
    <row r="4" spans="1:9">
      <c r="A4" t="s">
        <v>48</v>
      </c>
      <c r="B4" t="s">
        <v>11</v>
      </c>
      <c r="C4">
        <v>40245</v>
      </c>
      <c r="D4">
        <v>49268</v>
      </c>
      <c r="E4" t="s">
        <v>14</v>
      </c>
      <c r="F4">
        <v>62339</v>
      </c>
      <c r="G4">
        <v>77807</v>
      </c>
      <c r="H4" s="1">
        <f t="shared" si="0"/>
        <v>1.5489874518573736</v>
      </c>
      <c r="I4" s="1">
        <f t="shared" si="1"/>
        <v>1.5792603718437932</v>
      </c>
    </row>
    <row r="5" spans="1:9">
      <c r="A5" t="s">
        <v>41</v>
      </c>
      <c r="B5" t="s">
        <v>11</v>
      </c>
      <c r="C5">
        <v>20483</v>
      </c>
      <c r="D5">
        <v>25101</v>
      </c>
      <c r="E5" t="s">
        <v>14</v>
      </c>
      <c r="F5">
        <v>31321</v>
      </c>
      <c r="G5">
        <v>39065</v>
      </c>
      <c r="H5" s="1">
        <f t="shared" si="0"/>
        <v>1.5291217106869111</v>
      </c>
      <c r="I5" s="1">
        <f t="shared" si="1"/>
        <v>1.5563124975100593</v>
      </c>
    </row>
    <row r="6" spans="1:9">
      <c r="A6" t="s">
        <v>17</v>
      </c>
      <c r="B6" t="s">
        <v>11</v>
      </c>
      <c r="C6">
        <v>18887</v>
      </c>
      <c r="D6">
        <v>23680</v>
      </c>
      <c r="E6" t="s">
        <v>14</v>
      </c>
      <c r="F6">
        <v>30427</v>
      </c>
      <c r="G6">
        <v>36022</v>
      </c>
      <c r="H6" s="1">
        <f t="shared" si="0"/>
        <v>1.6110022766982581</v>
      </c>
      <c r="I6" s="1">
        <f t="shared" si="1"/>
        <v>1.5211993243243243</v>
      </c>
    </row>
    <row r="7" spans="1:9">
      <c r="A7" t="s">
        <v>35</v>
      </c>
      <c r="B7" t="s">
        <v>11</v>
      </c>
      <c r="C7">
        <v>36088</v>
      </c>
      <c r="D7">
        <v>45707</v>
      </c>
      <c r="E7" t="s">
        <v>14</v>
      </c>
      <c r="F7">
        <v>51244</v>
      </c>
      <c r="G7">
        <v>69513</v>
      </c>
      <c r="H7" s="1">
        <f t="shared" si="0"/>
        <v>1.4199733983595655</v>
      </c>
      <c r="I7" s="1">
        <f t="shared" si="1"/>
        <v>1.5208392587568644</v>
      </c>
    </row>
    <row r="8" spans="1:9">
      <c r="A8" t="s">
        <v>42</v>
      </c>
      <c r="B8" t="s">
        <v>11</v>
      </c>
      <c r="C8">
        <v>20624</v>
      </c>
      <c r="D8">
        <v>26507</v>
      </c>
      <c r="E8" t="s">
        <v>14</v>
      </c>
      <c r="F8">
        <v>29212</v>
      </c>
      <c r="G8">
        <v>39456</v>
      </c>
      <c r="H8" s="1">
        <f t="shared" si="0"/>
        <v>1.4164080682699767</v>
      </c>
      <c r="I8" s="1">
        <f t="shared" si="1"/>
        <v>1.4885124684045723</v>
      </c>
    </row>
    <row r="9" spans="1:9">
      <c r="A9" t="s">
        <v>18</v>
      </c>
      <c r="B9" t="s">
        <v>11</v>
      </c>
      <c r="C9">
        <v>37259</v>
      </c>
      <c r="D9">
        <v>45460</v>
      </c>
      <c r="E9" t="s">
        <v>14</v>
      </c>
      <c r="F9">
        <v>47470</v>
      </c>
      <c r="G9">
        <v>64915</v>
      </c>
      <c r="H9" s="1">
        <f t="shared" si="0"/>
        <v>1.2740545908371133</v>
      </c>
      <c r="I9" s="1">
        <f t="shared" si="1"/>
        <v>1.4279586449626045</v>
      </c>
    </row>
    <row r="10" spans="1:9">
      <c r="A10" t="s">
        <v>26</v>
      </c>
      <c r="B10" t="s">
        <v>11</v>
      </c>
      <c r="C10">
        <v>17849</v>
      </c>
      <c r="D10">
        <v>22514</v>
      </c>
      <c r="E10" t="s">
        <v>14</v>
      </c>
      <c r="F10">
        <v>25776</v>
      </c>
      <c r="G10">
        <v>31192</v>
      </c>
      <c r="H10" s="1">
        <f t="shared" si="0"/>
        <v>1.444114516219396</v>
      </c>
      <c r="I10" s="1">
        <f t="shared" si="1"/>
        <v>1.3854490539220041</v>
      </c>
    </row>
    <row r="11" spans="1:9">
      <c r="A11" t="s">
        <v>45</v>
      </c>
      <c r="B11" t="s">
        <v>11</v>
      </c>
      <c r="C11">
        <v>16952</v>
      </c>
      <c r="D11">
        <v>21031</v>
      </c>
      <c r="E11" t="s">
        <v>14</v>
      </c>
      <c r="F11">
        <v>22916</v>
      </c>
      <c r="G11">
        <v>28294</v>
      </c>
      <c r="H11" s="1">
        <f t="shared" si="0"/>
        <v>1.35181689476168</v>
      </c>
      <c r="I11" s="1">
        <f t="shared" si="1"/>
        <v>1.3453473443963673</v>
      </c>
    </row>
    <row r="12" spans="1:9">
      <c r="A12" t="s">
        <v>13</v>
      </c>
      <c r="B12" t="s">
        <v>11</v>
      </c>
      <c r="C12">
        <v>27245</v>
      </c>
      <c r="D12">
        <v>34149</v>
      </c>
      <c r="E12" t="s">
        <v>14</v>
      </c>
      <c r="F12">
        <v>38358</v>
      </c>
      <c r="G12">
        <v>45793</v>
      </c>
      <c r="H12" s="1">
        <f t="shared" si="0"/>
        <v>1.4078913562121491</v>
      </c>
      <c r="I12" s="1">
        <f t="shared" si="1"/>
        <v>1.3409763097016019</v>
      </c>
    </row>
    <row r="13" spans="1:9">
      <c r="A13" t="s">
        <v>27</v>
      </c>
      <c r="B13" t="s">
        <v>11</v>
      </c>
      <c r="C13">
        <v>15245</v>
      </c>
      <c r="D13">
        <v>17168</v>
      </c>
      <c r="E13" t="s">
        <v>14</v>
      </c>
      <c r="F13">
        <v>22534</v>
      </c>
      <c r="G13">
        <v>22962</v>
      </c>
      <c r="H13" s="1">
        <f t="shared" si="0"/>
        <v>1.4781239750737947</v>
      </c>
      <c r="I13" s="1">
        <f t="shared" si="1"/>
        <v>1.3374883504193849</v>
      </c>
    </row>
    <row r="14" spans="1:9">
      <c r="A14" t="s">
        <v>38</v>
      </c>
      <c r="B14" t="s">
        <v>11</v>
      </c>
      <c r="C14">
        <v>19047</v>
      </c>
      <c r="D14">
        <v>23555</v>
      </c>
      <c r="E14" t="s">
        <v>14</v>
      </c>
      <c r="F14">
        <v>24617</v>
      </c>
      <c r="G14">
        <v>31276</v>
      </c>
      <c r="H14" s="1">
        <f t="shared" si="0"/>
        <v>1.2924345041213841</v>
      </c>
      <c r="I14" s="1">
        <f t="shared" si="1"/>
        <v>1.3277860326894502</v>
      </c>
    </row>
    <row r="15" spans="1:9">
      <c r="A15" t="s">
        <v>34</v>
      </c>
      <c r="B15" t="s">
        <v>11</v>
      </c>
      <c r="C15">
        <v>14926</v>
      </c>
      <c r="D15">
        <v>17731</v>
      </c>
      <c r="E15" t="s">
        <v>14</v>
      </c>
      <c r="F15">
        <v>17466</v>
      </c>
      <c r="G15">
        <v>23478</v>
      </c>
      <c r="H15" s="1">
        <f t="shared" si="0"/>
        <v>1.1701728527401849</v>
      </c>
      <c r="I15" s="1">
        <f t="shared" si="1"/>
        <v>1.3241215949467036</v>
      </c>
    </row>
    <row r="16" spans="1:9">
      <c r="A16" t="s">
        <v>31</v>
      </c>
      <c r="B16" t="s">
        <v>11</v>
      </c>
      <c r="C16">
        <v>19621</v>
      </c>
      <c r="D16">
        <v>24025</v>
      </c>
      <c r="E16" t="s">
        <v>14</v>
      </c>
      <c r="F16">
        <v>25586</v>
      </c>
      <c r="G16">
        <v>31689</v>
      </c>
      <c r="H16" s="1">
        <f t="shared" si="0"/>
        <v>1.3040110086132206</v>
      </c>
      <c r="I16" s="1">
        <f t="shared" si="1"/>
        <v>1.3190010405827264</v>
      </c>
    </row>
    <row r="17" spans="1:19">
      <c r="A17" t="s">
        <v>23</v>
      </c>
      <c r="B17" t="s">
        <v>11</v>
      </c>
      <c r="C17">
        <v>16752</v>
      </c>
      <c r="D17">
        <v>22054</v>
      </c>
      <c r="E17" t="s">
        <v>14</v>
      </c>
      <c r="F17">
        <v>21358</v>
      </c>
      <c r="G17">
        <v>28998</v>
      </c>
      <c r="H17" s="1">
        <f t="shared" si="0"/>
        <v>1.2749522445081185</v>
      </c>
      <c r="I17" s="1">
        <f t="shared" si="1"/>
        <v>1.3148635168223453</v>
      </c>
    </row>
    <row r="18" spans="1:19">
      <c r="A18" t="s">
        <v>40</v>
      </c>
      <c r="B18" t="s">
        <v>11</v>
      </c>
      <c r="C18">
        <v>14889</v>
      </c>
      <c r="D18">
        <v>17662</v>
      </c>
      <c r="E18" t="s">
        <v>14</v>
      </c>
      <c r="F18">
        <v>17662</v>
      </c>
      <c r="G18">
        <v>23082</v>
      </c>
      <c r="H18" s="1">
        <f t="shared" si="0"/>
        <v>1.1862448787695614</v>
      </c>
      <c r="I18" s="1">
        <f t="shared" si="1"/>
        <v>1.3068735137583514</v>
      </c>
    </row>
    <row r="19" spans="1:19">
      <c r="A19" t="s">
        <v>43</v>
      </c>
      <c r="B19" t="s">
        <v>11</v>
      </c>
      <c r="C19">
        <v>18424</v>
      </c>
      <c r="D19">
        <v>22595</v>
      </c>
      <c r="E19" t="s">
        <v>14</v>
      </c>
      <c r="F19">
        <v>24089</v>
      </c>
      <c r="G19">
        <v>29475</v>
      </c>
      <c r="H19" s="1">
        <f t="shared" si="0"/>
        <v>1.3074793747286149</v>
      </c>
      <c r="I19" s="1">
        <f t="shared" si="1"/>
        <v>1.3044921442797079</v>
      </c>
    </row>
    <row r="20" spans="1:19">
      <c r="A20" t="s">
        <v>39</v>
      </c>
      <c r="B20" t="s">
        <v>11</v>
      </c>
      <c r="C20">
        <v>13793</v>
      </c>
      <c r="D20">
        <v>16281</v>
      </c>
      <c r="E20" t="s">
        <v>14</v>
      </c>
      <c r="F20">
        <v>16872</v>
      </c>
      <c r="G20">
        <v>20899</v>
      </c>
      <c r="H20" s="1">
        <f t="shared" si="0"/>
        <v>1.2232291742188066</v>
      </c>
      <c r="I20" s="1">
        <f t="shared" si="1"/>
        <v>1.2836435108408575</v>
      </c>
    </row>
    <row r="21" spans="1:19">
      <c r="A21" t="s">
        <v>36</v>
      </c>
      <c r="B21" t="s">
        <v>11</v>
      </c>
      <c r="C21">
        <v>17593</v>
      </c>
      <c r="D21">
        <v>21865</v>
      </c>
      <c r="E21" t="s">
        <v>14</v>
      </c>
      <c r="F21">
        <v>21343</v>
      </c>
      <c r="G21">
        <v>27559</v>
      </c>
      <c r="H21" s="1">
        <f t="shared" si="0"/>
        <v>1.2131529585630649</v>
      </c>
      <c r="I21" s="1">
        <f t="shared" si="1"/>
        <v>1.2604161902584039</v>
      </c>
    </row>
    <row r="22" spans="1:19" ht="14.4" customHeight="1">
      <c r="A22" t="s">
        <v>19</v>
      </c>
      <c r="B22" t="s">
        <v>11</v>
      </c>
      <c r="C22">
        <v>36518</v>
      </c>
      <c r="D22">
        <v>42421</v>
      </c>
      <c r="E22" t="s">
        <v>14</v>
      </c>
      <c r="F22">
        <v>47418</v>
      </c>
      <c r="G22">
        <v>53262</v>
      </c>
      <c r="H22" s="1">
        <f t="shared" si="0"/>
        <v>1.2984829399200395</v>
      </c>
      <c r="I22" s="1">
        <f t="shared" si="1"/>
        <v>1.2555573890290186</v>
      </c>
      <c r="K22" s="6" t="s">
        <v>59</v>
      </c>
      <c r="L22" s="5" t="s">
        <v>60</v>
      </c>
      <c r="M22" s="5"/>
      <c r="N22" s="5"/>
      <c r="O22" s="5"/>
      <c r="P22" s="5"/>
      <c r="Q22" s="5"/>
      <c r="R22" s="5"/>
      <c r="S22" s="5"/>
    </row>
    <row r="23" spans="1:19">
      <c r="A23" t="s">
        <v>47</v>
      </c>
      <c r="B23" t="s">
        <v>11</v>
      </c>
      <c r="C23">
        <v>22419</v>
      </c>
      <c r="D23">
        <v>26608</v>
      </c>
      <c r="E23" t="s">
        <v>14</v>
      </c>
      <c r="F23">
        <v>27226</v>
      </c>
      <c r="G23">
        <v>32949</v>
      </c>
      <c r="H23" s="1">
        <f t="shared" si="0"/>
        <v>1.2144163432802533</v>
      </c>
      <c r="I23" s="1">
        <f t="shared" si="1"/>
        <v>1.238311785929044</v>
      </c>
      <c r="K23" s="6"/>
      <c r="L23" s="5"/>
      <c r="M23" s="5"/>
      <c r="N23" s="5"/>
      <c r="O23" s="5"/>
      <c r="P23" s="5"/>
      <c r="Q23" s="5"/>
      <c r="R23" s="5"/>
      <c r="S23" s="5"/>
    </row>
    <row r="24" spans="1:19">
      <c r="A24" t="s">
        <v>25</v>
      </c>
      <c r="B24" t="s">
        <v>11</v>
      </c>
      <c r="C24">
        <v>20124</v>
      </c>
      <c r="D24">
        <v>24379</v>
      </c>
      <c r="E24" t="s">
        <v>14</v>
      </c>
      <c r="F24">
        <v>25415</v>
      </c>
      <c r="G24">
        <v>30148</v>
      </c>
      <c r="H24" s="1">
        <f t="shared" si="0"/>
        <v>1.2629198966408268</v>
      </c>
      <c r="I24" s="1">
        <f t="shared" si="1"/>
        <v>1.2366380901595635</v>
      </c>
      <c r="L24" s="5"/>
      <c r="M24" s="5"/>
      <c r="N24" s="5"/>
      <c r="O24" s="5"/>
      <c r="P24" s="5"/>
      <c r="Q24" s="5"/>
      <c r="R24" s="5"/>
      <c r="S24" s="5"/>
    </row>
    <row r="25" spans="1:19">
      <c r="A25" t="s">
        <v>46</v>
      </c>
      <c r="B25" t="s">
        <v>11</v>
      </c>
      <c r="C25">
        <v>17401</v>
      </c>
      <c r="D25">
        <v>20867</v>
      </c>
      <c r="E25" t="s">
        <v>14</v>
      </c>
      <c r="F25">
        <v>20468</v>
      </c>
      <c r="G25">
        <v>25570</v>
      </c>
      <c r="H25" s="1">
        <f t="shared" si="0"/>
        <v>1.1762542382621688</v>
      </c>
      <c r="I25" s="1">
        <f t="shared" si="1"/>
        <v>1.2253797862653952</v>
      </c>
      <c r="L25" s="5"/>
      <c r="M25" s="5"/>
      <c r="N25" s="5"/>
      <c r="O25" s="5"/>
      <c r="P25" s="5"/>
      <c r="Q25" s="5"/>
      <c r="R25" s="5"/>
      <c r="S25" s="5"/>
    </row>
    <row r="26" spans="1:19">
      <c r="A26" t="s">
        <v>33</v>
      </c>
      <c r="B26" t="s">
        <v>11</v>
      </c>
      <c r="C26">
        <v>18854</v>
      </c>
      <c r="D26">
        <v>22564</v>
      </c>
      <c r="E26" t="s">
        <v>14</v>
      </c>
      <c r="F26">
        <v>23088</v>
      </c>
      <c r="G26">
        <v>27634</v>
      </c>
      <c r="H26" s="1">
        <f t="shared" si="0"/>
        <v>1.2245677309854672</v>
      </c>
      <c r="I26" s="1">
        <f t="shared" si="1"/>
        <v>1.2246942031554688</v>
      </c>
      <c r="L26" s="5"/>
      <c r="M26" s="5"/>
      <c r="N26" s="5"/>
      <c r="O26" s="5"/>
      <c r="P26" s="5"/>
      <c r="Q26" s="5"/>
      <c r="R26" s="5"/>
      <c r="S26" s="5"/>
    </row>
    <row r="27" spans="1:19">
      <c r="A27" t="s">
        <v>30</v>
      </c>
      <c r="B27" t="s">
        <v>11</v>
      </c>
      <c r="C27">
        <v>15386</v>
      </c>
      <c r="D27">
        <v>20846</v>
      </c>
      <c r="E27" t="s">
        <v>14</v>
      </c>
      <c r="F27">
        <v>18751</v>
      </c>
      <c r="G27">
        <v>25279</v>
      </c>
      <c r="H27" s="1">
        <f t="shared" si="0"/>
        <v>1.2187053165215131</v>
      </c>
      <c r="I27" s="1">
        <f t="shared" si="1"/>
        <v>1.2126547059387893</v>
      </c>
      <c r="L27" s="5"/>
      <c r="M27" s="5"/>
      <c r="N27" s="5"/>
      <c r="O27" s="5"/>
      <c r="P27" s="5"/>
      <c r="Q27" s="5"/>
      <c r="R27" s="5"/>
      <c r="S27" s="5"/>
    </row>
    <row r="28" spans="1:19">
      <c r="A28" t="s">
        <v>24</v>
      </c>
      <c r="B28" t="s">
        <v>11</v>
      </c>
      <c r="C28">
        <v>16276</v>
      </c>
      <c r="D28">
        <v>25446</v>
      </c>
      <c r="E28" t="s">
        <v>14</v>
      </c>
      <c r="F28">
        <v>20618</v>
      </c>
      <c r="G28">
        <v>30567</v>
      </c>
      <c r="H28" s="1">
        <f t="shared" si="0"/>
        <v>1.2667731629392971</v>
      </c>
      <c r="I28" s="1">
        <f t="shared" si="1"/>
        <v>1.2012497052581939</v>
      </c>
      <c r="L28" s="5"/>
      <c r="M28" s="5"/>
      <c r="N28" s="5"/>
      <c r="O28" s="5"/>
      <c r="P28" s="5"/>
      <c r="Q28" s="5"/>
      <c r="R28" s="5"/>
      <c r="S28" s="5"/>
    </row>
    <row r="29" spans="1:19">
      <c r="A29" t="s">
        <v>32</v>
      </c>
      <c r="B29" t="s">
        <v>11</v>
      </c>
      <c r="C29">
        <v>24620</v>
      </c>
      <c r="D29">
        <v>29938</v>
      </c>
      <c r="E29" t="s">
        <v>14</v>
      </c>
      <c r="F29">
        <v>29354</v>
      </c>
      <c r="G29">
        <v>35960</v>
      </c>
      <c r="H29" s="1">
        <f t="shared" si="0"/>
        <v>1.1922826969943137</v>
      </c>
      <c r="I29" s="1">
        <f t="shared" si="1"/>
        <v>1.2011490413521277</v>
      </c>
      <c r="L29" s="5"/>
      <c r="M29" s="5"/>
      <c r="N29" s="5"/>
      <c r="O29" s="5"/>
      <c r="P29" s="5"/>
      <c r="Q29" s="5"/>
      <c r="R29" s="5"/>
      <c r="S29" s="5"/>
    </row>
    <row r="30" spans="1:19">
      <c r="A30" t="s">
        <v>20</v>
      </c>
      <c r="B30" t="s">
        <v>11</v>
      </c>
      <c r="C30">
        <v>15857</v>
      </c>
      <c r="D30">
        <v>21266</v>
      </c>
      <c r="E30" t="s">
        <v>14</v>
      </c>
      <c r="F30">
        <v>19022</v>
      </c>
      <c r="G30">
        <v>25353</v>
      </c>
      <c r="H30" s="1">
        <f t="shared" si="0"/>
        <v>1.1995963927602951</v>
      </c>
      <c r="I30" s="1">
        <f t="shared" si="1"/>
        <v>1.1921847079845762</v>
      </c>
      <c r="L30" s="5"/>
      <c r="M30" s="5"/>
      <c r="N30" s="5"/>
      <c r="O30" s="5"/>
      <c r="P30" s="5"/>
      <c r="Q30" s="5"/>
      <c r="R30" s="5"/>
      <c r="S30" s="5"/>
    </row>
    <row r="31" spans="1:19">
      <c r="A31" t="s">
        <v>22</v>
      </c>
      <c r="B31" t="s">
        <v>11</v>
      </c>
      <c r="C31">
        <v>18589</v>
      </c>
      <c r="D31">
        <v>22943</v>
      </c>
      <c r="E31" t="s">
        <v>14</v>
      </c>
      <c r="F31">
        <v>21695</v>
      </c>
      <c r="G31">
        <v>27221</v>
      </c>
      <c r="H31" s="1">
        <f t="shared" si="0"/>
        <v>1.1670880628328582</v>
      </c>
      <c r="I31" s="1">
        <f t="shared" si="1"/>
        <v>1.1864621017303754</v>
      </c>
      <c r="L31" s="5"/>
      <c r="M31" s="5"/>
      <c r="N31" s="5"/>
      <c r="O31" s="5"/>
      <c r="P31" s="5"/>
      <c r="Q31" s="5"/>
      <c r="R31" s="5"/>
      <c r="S31" s="5"/>
    </row>
    <row r="32" spans="1:19">
      <c r="A32" t="s">
        <v>21</v>
      </c>
      <c r="B32" t="s">
        <v>11</v>
      </c>
      <c r="C32">
        <v>12384</v>
      </c>
      <c r="D32">
        <v>13617</v>
      </c>
      <c r="E32" t="s">
        <v>14</v>
      </c>
      <c r="F32">
        <v>14737</v>
      </c>
      <c r="G32">
        <v>16097</v>
      </c>
      <c r="H32" s="1">
        <f t="shared" si="0"/>
        <v>1.1900032299741603</v>
      </c>
      <c r="I32" s="1">
        <f t="shared" si="1"/>
        <v>1.1821252845707571</v>
      </c>
      <c r="L32" s="5"/>
      <c r="M32" s="5"/>
      <c r="N32" s="5"/>
      <c r="O32" s="5"/>
      <c r="P32" s="5"/>
      <c r="Q32" s="5"/>
      <c r="R32" s="5"/>
      <c r="S32" s="5"/>
    </row>
    <row r="33" spans="1:19">
      <c r="A33" t="s">
        <v>9</v>
      </c>
      <c r="B33" t="s">
        <v>11</v>
      </c>
      <c r="C33">
        <v>20348</v>
      </c>
      <c r="D33">
        <v>23890</v>
      </c>
      <c r="E33" t="s">
        <v>14</v>
      </c>
      <c r="F33">
        <v>24836</v>
      </c>
      <c r="G33">
        <v>28101</v>
      </c>
      <c r="H33" s="1">
        <f t="shared" si="0"/>
        <v>1.2205622174169453</v>
      </c>
      <c r="I33" s="1">
        <f t="shared" si="1"/>
        <v>1.1762662201758058</v>
      </c>
      <c r="L33" s="5"/>
      <c r="M33" s="5"/>
      <c r="N33" s="5"/>
      <c r="O33" s="5"/>
      <c r="P33" s="5"/>
      <c r="Q33" s="5"/>
      <c r="R33" s="5"/>
      <c r="S33" s="5"/>
    </row>
    <row r="34" spans="1:19">
      <c r="A34" t="s">
        <v>12</v>
      </c>
      <c r="B34" t="s">
        <v>11</v>
      </c>
      <c r="C34">
        <v>12705</v>
      </c>
      <c r="D34">
        <v>13851</v>
      </c>
      <c r="E34" t="s">
        <v>14</v>
      </c>
      <c r="F34">
        <v>14717</v>
      </c>
      <c r="G34">
        <v>16242</v>
      </c>
      <c r="H34" s="1">
        <f t="shared" si="0"/>
        <v>1.1583628492719402</v>
      </c>
      <c r="I34" s="1">
        <f t="shared" si="1"/>
        <v>1.1726229153129737</v>
      </c>
      <c r="L34" s="5"/>
      <c r="M34" s="5"/>
      <c r="N34" s="5"/>
      <c r="O34" s="5"/>
      <c r="P34" s="5"/>
      <c r="Q34" s="5"/>
      <c r="R34" s="5"/>
      <c r="S34" s="5"/>
    </row>
    <row r="35" spans="1:19">
      <c r="A35" t="s">
        <v>56</v>
      </c>
      <c r="B35" t="s">
        <v>11</v>
      </c>
      <c r="C35">
        <v>26198</v>
      </c>
      <c r="D35">
        <v>31477</v>
      </c>
      <c r="E35" t="s">
        <v>14</v>
      </c>
      <c r="F35">
        <v>32532</v>
      </c>
      <c r="G35">
        <v>36875</v>
      </c>
      <c r="H35" s="1">
        <f t="shared" si="0"/>
        <v>1.2417741812352088</v>
      </c>
      <c r="I35" s="1">
        <f t="shared" si="1"/>
        <v>1.1714902945007466</v>
      </c>
      <c r="L35" s="5"/>
      <c r="M35" s="5"/>
      <c r="N35" s="5"/>
      <c r="O35" s="5"/>
      <c r="P35" s="5"/>
      <c r="Q35" s="5"/>
      <c r="R35" s="5"/>
      <c r="S35" s="5"/>
    </row>
    <row r="36" spans="1:19">
      <c r="A36" t="s">
        <v>53</v>
      </c>
      <c r="B36" t="s">
        <v>11</v>
      </c>
      <c r="C36">
        <v>16452</v>
      </c>
      <c r="D36">
        <v>18036</v>
      </c>
      <c r="E36" t="s">
        <v>14</v>
      </c>
      <c r="F36">
        <v>18591</v>
      </c>
      <c r="G36">
        <v>20885</v>
      </c>
      <c r="H36" s="1">
        <f t="shared" si="0"/>
        <v>1.1300145878920496</v>
      </c>
      <c r="I36" s="1">
        <f t="shared" si="1"/>
        <v>1.1579618540696386</v>
      </c>
      <c r="L36" s="5"/>
      <c r="M36" s="5"/>
      <c r="N36" s="5"/>
      <c r="O36" s="5"/>
      <c r="P36" s="5"/>
      <c r="Q36" s="5"/>
      <c r="R36" s="5"/>
      <c r="S36" s="5"/>
    </row>
    <row r="37" spans="1:19">
      <c r="A37" t="s">
        <v>16</v>
      </c>
      <c r="B37" t="s">
        <v>11</v>
      </c>
      <c r="C37">
        <v>16725</v>
      </c>
      <c r="D37">
        <v>18164</v>
      </c>
      <c r="E37" t="s">
        <v>14</v>
      </c>
      <c r="F37">
        <v>18779</v>
      </c>
      <c r="G37">
        <v>20844</v>
      </c>
      <c r="H37" s="1">
        <f t="shared" si="0"/>
        <v>1.1228101644245141</v>
      </c>
      <c r="I37" s="1">
        <f t="shared" si="1"/>
        <v>1.1475445937018278</v>
      </c>
      <c r="L37" s="5"/>
      <c r="M37" s="5"/>
      <c r="N37" s="5"/>
      <c r="O37" s="5"/>
      <c r="P37" s="5"/>
      <c r="Q37" s="5"/>
      <c r="R37" s="5"/>
      <c r="S37" s="5"/>
    </row>
    <row r="38" spans="1:19">
      <c r="A38" t="s">
        <v>28</v>
      </c>
      <c r="B38" t="s">
        <v>11</v>
      </c>
      <c r="C38">
        <v>17670</v>
      </c>
      <c r="D38">
        <v>20911</v>
      </c>
      <c r="E38" t="s">
        <v>14</v>
      </c>
      <c r="F38">
        <v>20005</v>
      </c>
      <c r="G38">
        <v>23899</v>
      </c>
      <c r="H38" s="1">
        <f t="shared" si="0"/>
        <v>1.1321448783248445</v>
      </c>
      <c r="I38" s="1">
        <f t="shared" si="1"/>
        <v>1.1428913012290183</v>
      </c>
      <c r="L38" s="5"/>
      <c r="M38" s="5"/>
      <c r="N38" s="5"/>
      <c r="O38" s="5"/>
      <c r="P38" s="5"/>
      <c r="Q38" s="5"/>
      <c r="R38" s="5"/>
      <c r="S38" s="5"/>
    </row>
    <row r="39" spans="1:19">
      <c r="A39" t="s">
        <v>44</v>
      </c>
      <c r="B39" t="s">
        <v>11</v>
      </c>
      <c r="C39">
        <v>15595</v>
      </c>
      <c r="D39">
        <v>17751</v>
      </c>
      <c r="E39" t="s">
        <v>14</v>
      </c>
      <c r="F39">
        <v>17567</v>
      </c>
      <c r="G39">
        <v>19971</v>
      </c>
      <c r="H39" s="1">
        <f t="shared" si="0"/>
        <v>1.1264507855081758</v>
      </c>
      <c r="I39" s="1">
        <f t="shared" si="1"/>
        <v>1.1250633767111713</v>
      </c>
      <c r="L39" s="5"/>
      <c r="M39" s="5"/>
      <c r="N39" s="5"/>
      <c r="O39" s="5"/>
      <c r="P39" s="5"/>
      <c r="Q39" s="5"/>
      <c r="R39" s="5"/>
      <c r="S39" s="5"/>
    </row>
    <row r="40" spans="1:19">
      <c r="A40" t="s">
        <v>15</v>
      </c>
      <c r="B40" t="s">
        <v>11</v>
      </c>
      <c r="C40">
        <v>25418</v>
      </c>
      <c r="D40">
        <v>22984</v>
      </c>
      <c r="E40" t="s">
        <v>14</v>
      </c>
      <c r="F40">
        <v>25877</v>
      </c>
      <c r="G40">
        <v>25761</v>
      </c>
      <c r="H40" s="1">
        <f t="shared" si="0"/>
        <v>1.0180580690849004</v>
      </c>
      <c r="I40" s="1">
        <f t="shared" si="1"/>
        <v>1.1208231813435434</v>
      </c>
      <c r="L40" s="5"/>
      <c r="M40" s="5"/>
      <c r="N40" s="5"/>
      <c r="O40" s="5"/>
      <c r="P40" s="5"/>
      <c r="Q40" s="5"/>
      <c r="R40" s="5"/>
      <c r="S40" s="5"/>
    </row>
    <row r="41" spans="1:19">
      <c r="A41" t="s">
        <v>55</v>
      </c>
      <c r="B41" t="s">
        <v>11</v>
      </c>
      <c r="C41">
        <v>16856</v>
      </c>
      <c r="D41">
        <v>18900</v>
      </c>
      <c r="E41" t="s">
        <v>14</v>
      </c>
      <c r="F41">
        <v>18021</v>
      </c>
      <c r="G41">
        <v>20935</v>
      </c>
      <c r="H41" s="1">
        <f t="shared" si="0"/>
        <v>1.0691148552444234</v>
      </c>
      <c r="I41" s="1">
        <f t="shared" si="1"/>
        <v>1.1076719576719576</v>
      </c>
      <c r="L41" s="5"/>
      <c r="M41" s="5"/>
      <c r="N41" s="5"/>
      <c r="O41" s="5"/>
      <c r="P41" s="5"/>
      <c r="Q41" s="5"/>
      <c r="R41" s="5"/>
      <c r="S41" s="5"/>
    </row>
    <row r="42" spans="1:19">
      <c r="A42" t="s">
        <v>37</v>
      </c>
      <c r="B42" t="s">
        <v>11</v>
      </c>
      <c r="C42">
        <v>17910</v>
      </c>
      <c r="D42">
        <v>21857</v>
      </c>
      <c r="E42" t="s">
        <v>14</v>
      </c>
      <c r="F42">
        <v>20910</v>
      </c>
      <c r="G42">
        <v>24019</v>
      </c>
      <c r="H42" s="1">
        <f t="shared" si="0"/>
        <v>1.1675041876046901</v>
      </c>
      <c r="I42" s="1">
        <f t="shared" si="1"/>
        <v>1.0989156791874457</v>
      </c>
      <c r="L42" s="5"/>
      <c r="M42" s="5"/>
      <c r="N42" s="5"/>
      <c r="O42" s="5"/>
      <c r="P42" s="5"/>
      <c r="Q42" s="5"/>
      <c r="R42" s="5"/>
      <c r="S42" s="5"/>
    </row>
    <row r="43" spans="1:19">
      <c r="A43" t="s">
        <v>51</v>
      </c>
      <c r="B43" t="s">
        <v>11</v>
      </c>
      <c r="C43">
        <v>28000</v>
      </c>
      <c r="D43">
        <v>32230</v>
      </c>
      <c r="E43" t="s">
        <v>14</v>
      </c>
      <c r="F43">
        <v>31336</v>
      </c>
      <c r="G43">
        <v>34996</v>
      </c>
      <c r="H43" s="1">
        <f t="shared" si="0"/>
        <v>1.1191428571428572</v>
      </c>
      <c r="I43" s="1">
        <f t="shared" si="1"/>
        <v>1.0858206639776606</v>
      </c>
    </row>
    <row r="44" spans="1:19">
      <c r="A44" t="s">
        <v>52</v>
      </c>
      <c r="B44" t="s">
        <v>11</v>
      </c>
      <c r="C44">
        <v>14469</v>
      </c>
      <c r="D44">
        <v>16033</v>
      </c>
      <c r="E44" t="s">
        <v>14</v>
      </c>
      <c r="F44">
        <v>15003</v>
      </c>
      <c r="G44">
        <v>16382</v>
      </c>
      <c r="H44" s="1">
        <f t="shared" si="0"/>
        <v>1.0369064897366784</v>
      </c>
      <c r="I44" s="1">
        <f t="shared" si="1"/>
        <v>1.0217676043160981</v>
      </c>
    </row>
    <row r="45" spans="1:19">
      <c r="A45" t="s">
        <v>50</v>
      </c>
      <c r="B45" t="s">
        <v>11</v>
      </c>
      <c r="C45">
        <v>26988</v>
      </c>
      <c r="D45">
        <v>30524</v>
      </c>
      <c r="E45" t="s">
        <v>14</v>
      </c>
      <c r="F45">
        <v>24005</v>
      </c>
      <c r="G45">
        <v>28408</v>
      </c>
      <c r="H45" s="1">
        <f t="shared" si="0"/>
        <v>0.88946939380465395</v>
      </c>
      <c r="I45" s="1">
        <f t="shared" si="1"/>
        <v>0.93067749967238889</v>
      </c>
    </row>
  </sheetData>
  <sortState xmlns:xlrd2="http://schemas.microsoft.com/office/spreadsheetml/2017/richdata2" ref="A2:I45">
    <sortCondition descending="1" ref="I2:I45"/>
  </sortState>
  <mergeCells count="2">
    <mergeCell ref="L22:S42"/>
    <mergeCell ref="K22:K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B2DA-BDA2-447E-80FD-7A7EA034EDCE}">
  <dimension ref="A1:C14"/>
  <sheetViews>
    <sheetView tabSelected="1" workbookViewId="0">
      <selection activeCell="B20" sqref="B20"/>
    </sheetView>
  </sheetViews>
  <sheetFormatPr defaultRowHeight="13.8"/>
  <cols>
    <col min="1" max="1" width="21.796875" customWidth="1"/>
    <col min="2" max="2" width="16.3984375" customWidth="1"/>
    <col min="3" max="3" width="14.796875" customWidth="1"/>
  </cols>
  <sheetData>
    <row r="1" spans="1:3">
      <c r="A1" s="7" t="s">
        <v>63</v>
      </c>
    </row>
    <row r="2" spans="1:3" ht="14.4" thickBot="1"/>
    <row r="3" spans="1:3" ht="14.4">
      <c r="A3" s="4"/>
      <c r="B3" s="4" t="s">
        <v>64</v>
      </c>
      <c r="C3" s="4" t="s">
        <v>65</v>
      </c>
    </row>
    <row r="4" spans="1:3">
      <c r="A4" s="2" t="s">
        <v>66</v>
      </c>
      <c r="B4" s="2">
        <v>20173.204545454544</v>
      </c>
      <c r="C4" s="2">
        <v>25860.31818181818</v>
      </c>
    </row>
    <row r="5" spans="1:3">
      <c r="A5" s="2" t="s">
        <v>67</v>
      </c>
      <c r="B5" s="2">
        <v>46228809.236257955</v>
      </c>
      <c r="C5" s="2">
        <v>103600437.84989433</v>
      </c>
    </row>
    <row r="6" spans="1:3">
      <c r="A6" s="2" t="s">
        <v>68</v>
      </c>
      <c r="B6" s="2">
        <v>44</v>
      </c>
      <c r="C6" s="2">
        <v>44</v>
      </c>
    </row>
    <row r="7" spans="1:3">
      <c r="A7" s="2" t="s">
        <v>69</v>
      </c>
      <c r="B7" s="2">
        <v>0.90534568892658873</v>
      </c>
      <c r="C7" s="2"/>
    </row>
    <row r="8" spans="1:3" ht="14.4" customHeight="1">
      <c r="A8" s="2" t="s">
        <v>70</v>
      </c>
      <c r="B8" s="2">
        <v>0</v>
      </c>
      <c r="C8" s="2"/>
    </row>
    <row r="9" spans="1:3">
      <c r="A9" s="2" t="s">
        <v>58</v>
      </c>
      <c r="B9" s="2">
        <v>43</v>
      </c>
      <c r="C9" s="2"/>
    </row>
    <row r="10" spans="1:3">
      <c r="A10" s="2" t="s">
        <v>71</v>
      </c>
      <c r="B10" s="2">
        <v>-7.6182300217918577</v>
      </c>
      <c r="C10" s="2"/>
    </row>
    <row r="11" spans="1:3" ht="13.8" customHeight="1">
      <c r="A11" s="2" t="s">
        <v>72</v>
      </c>
      <c r="B11" s="2">
        <v>8.2861145476066869E-10</v>
      </c>
      <c r="C11" s="2"/>
    </row>
    <row r="12" spans="1:3">
      <c r="A12" s="2" t="s">
        <v>73</v>
      </c>
      <c r="B12" s="2">
        <v>1.6810707032025196</v>
      </c>
      <c r="C12" s="2"/>
    </row>
    <row r="13" spans="1:3">
      <c r="A13" s="2" t="s">
        <v>74</v>
      </c>
      <c r="B13" s="2">
        <v>1.6572229095213374E-9</v>
      </c>
      <c r="C13" s="2"/>
    </row>
    <row r="14" spans="1:3" ht="14.4" thickBot="1">
      <c r="A14" s="3" t="s">
        <v>75</v>
      </c>
      <c r="B14" s="3">
        <v>2.0166921992278248</v>
      </c>
      <c r="C14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workbookViewId="0">
      <selection activeCell="K14" sqref="K14"/>
    </sheetView>
  </sheetViews>
  <sheetFormatPr defaultRowHeight="13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20348</v>
      </c>
      <c r="G2">
        <v>23890</v>
      </c>
    </row>
    <row r="3" spans="1:9">
      <c r="A3" t="s">
        <v>7</v>
      </c>
      <c r="B3" t="s">
        <v>8</v>
      </c>
      <c r="C3" t="s">
        <v>12</v>
      </c>
      <c r="D3" t="s">
        <v>10</v>
      </c>
      <c r="E3" t="s">
        <v>11</v>
      </c>
      <c r="F3">
        <v>12705</v>
      </c>
      <c r="G3">
        <v>13851</v>
      </c>
    </row>
    <row r="4" spans="1:9">
      <c r="A4" t="s">
        <v>7</v>
      </c>
      <c r="B4" t="s">
        <v>8</v>
      </c>
      <c r="C4" t="s">
        <v>13</v>
      </c>
      <c r="D4" t="s">
        <v>10</v>
      </c>
      <c r="E4" t="s">
        <v>14</v>
      </c>
      <c r="F4">
        <v>38358</v>
      </c>
      <c r="G4">
        <v>45793</v>
      </c>
    </row>
    <row r="5" spans="1:9">
      <c r="A5" t="s">
        <v>7</v>
      </c>
      <c r="B5" t="s">
        <v>8</v>
      </c>
      <c r="C5" t="s">
        <v>15</v>
      </c>
      <c r="D5" t="s">
        <v>10</v>
      </c>
      <c r="E5" t="s">
        <v>11</v>
      </c>
      <c r="F5">
        <v>25418</v>
      </c>
      <c r="G5">
        <v>22984</v>
      </c>
    </row>
    <row r="6" spans="1:9">
      <c r="A6" t="s">
        <v>7</v>
      </c>
      <c r="B6" t="s">
        <v>8</v>
      </c>
      <c r="C6" t="s">
        <v>16</v>
      </c>
      <c r="D6" t="s">
        <v>10</v>
      </c>
      <c r="E6" t="s">
        <v>14</v>
      </c>
      <c r="F6">
        <v>18779</v>
      </c>
      <c r="G6">
        <v>20844</v>
      </c>
    </row>
    <row r="7" spans="1:9">
      <c r="A7" t="s">
        <v>7</v>
      </c>
      <c r="B7" t="s">
        <v>8</v>
      </c>
      <c r="C7" t="s">
        <v>17</v>
      </c>
      <c r="D7" t="s">
        <v>10</v>
      </c>
      <c r="E7" t="s">
        <v>11</v>
      </c>
      <c r="F7">
        <v>18887</v>
      </c>
      <c r="G7">
        <v>23680</v>
      </c>
      <c r="I7" t="s">
        <v>57</v>
      </c>
    </row>
    <row r="8" spans="1:9">
      <c r="A8" t="s">
        <v>7</v>
      </c>
      <c r="B8" t="s">
        <v>8</v>
      </c>
      <c r="C8" t="s">
        <v>18</v>
      </c>
      <c r="D8" t="s">
        <v>10</v>
      </c>
      <c r="E8" t="s">
        <v>14</v>
      </c>
      <c r="F8">
        <v>47470</v>
      </c>
      <c r="G8">
        <v>64915</v>
      </c>
    </row>
    <row r="9" spans="1:9">
      <c r="A9" t="s">
        <v>7</v>
      </c>
      <c r="B9" t="s">
        <v>8</v>
      </c>
      <c r="C9" t="s">
        <v>19</v>
      </c>
      <c r="D9" t="s">
        <v>10</v>
      </c>
      <c r="E9" t="s">
        <v>11</v>
      </c>
      <c r="F9">
        <v>36518</v>
      </c>
      <c r="G9">
        <v>42421</v>
      </c>
    </row>
    <row r="10" spans="1:9">
      <c r="A10" t="s">
        <v>7</v>
      </c>
      <c r="B10" t="s">
        <v>8</v>
      </c>
      <c r="C10" t="s">
        <v>20</v>
      </c>
      <c r="D10" t="s">
        <v>10</v>
      </c>
      <c r="E10" t="s">
        <v>14</v>
      </c>
      <c r="F10">
        <v>19022</v>
      </c>
      <c r="G10">
        <v>25353</v>
      </c>
    </row>
    <row r="11" spans="1:9">
      <c r="A11" t="s">
        <v>7</v>
      </c>
      <c r="B11" t="s">
        <v>8</v>
      </c>
      <c r="C11" t="s">
        <v>21</v>
      </c>
      <c r="D11" t="s">
        <v>10</v>
      </c>
      <c r="E11" t="s">
        <v>11</v>
      </c>
      <c r="F11">
        <v>12384</v>
      </c>
      <c r="G11">
        <v>13617</v>
      </c>
    </row>
    <row r="12" spans="1:9">
      <c r="A12" t="s">
        <v>7</v>
      </c>
      <c r="B12" t="s">
        <v>8</v>
      </c>
      <c r="C12" t="s">
        <v>9</v>
      </c>
      <c r="D12" t="s">
        <v>10</v>
      </c>
      <c r="E12" t="s">
        <v>14</v>
      </c>
      <c r="F12">
        <v>24836</v>
      </c>
      <c r="G12">
        <v>28101</v>
      </c>
    </row>
    <row r="13" spans="1:9">
      <c r="A13" t="s">
        <v>7</v>
      </c>
      <c r="B13" t="s">
        <v>8</v>
      </c>
      <c r="C13" t="s">
        <v>22</v>
      </c>
      <c r="D13" t="s">
        <v>10</v>
      </c>
      <c r="E13" t="s">
        <v>14</v>
      </c>
      <c r="F13">
        <v>21695</v>
      </c>
      <c r="G13">
        <v>27221</v>
      </c>
    </row>
    <row r="14" spans="1:9">
      <c r="A14" t="s">
        <v>7</v>
      </c>
      <c r="B14" t="s">
        <v>8</v>
      </c>
      <c r="C14" t="s">
        <v>23</v>
      </c>
      <c r="D14" t="s">
        <v>10</v>
      </c>
      <c r="E14" t="s">
        <v>11</v>
      </c>
      <c r="F14">
        <v>16752</v>
      </c>
      <c r="G14">
        <v>22054</v>
      </c>
    </row>
    <row r="15" spans="1:9">
      <c r="A15" t="s">
        <v>7</v>
      </c>
      <c r="B15" t="s">
        <v>8</v>
      </c>
      <c r="C15" t="s">
        <v>24</v>
      </c>
      <c r="D15" t="s">
        <v>10</v>
      </c>
      <c r="E15" t="s">
        <v>11</v>
      </c>
      <c r="F15">
        <v>16276</v>
      </c>
      <c r="G15">
        <v>25446</v>
      </c>
    </row>
    <row r="16" spans="1:9">
      <c r="A16" t="s">
        <v>7</v>
      </c>
      <c r="B16" t="s">
        <v>8</v>
      </c>
      <c r="C16" t="s">
        <v>25</v>
      </c>
      <c r="D16" t="s">
        <v>10</v>
      </c>
      <c r="E16" t="s">
        <v>14</v>
      </c>
      <c r="F16">
        <v>25415</v>
      </c>
      <c r="G16">
        <v>30148</v>
      </c>
    </row>
    <row r="17" spans="1:9">
      <c r="A17" t="s">
        <v>7</v>
      </c>
      <c r="B17" t="s">
        <v>8</v>
      </c>
      <c r="C17" t="s">
        <v>16</v>
      </c>
      <c r="D17" t="s">
        <v>10</v>
      </c>
      <c r="E17" t="s">
        <v>11</v>
      </c>
      <c r="F17">
        <v>16725</v>
      </c>
      <c r="G17">
        <v>18164</v>
      </c>
    </row>
    <row r="18" spans="1:9">
      <c r="A18" t="s">
        <v>7</v>
      </c>
      <c r="B18" t="s">
        <v>8</v>
      </c>
      <c r="C18" t="s">
        <v>26</v>
      </c>
      <c r="D18" t="s">
        <v>10</v>
      </c>
      <c r="E18" t="s">
        <v>11</v>
      </c>
      <c r="F18">
        <v>17849</v>
      </c>
      <c r="G18">
        <v>22514</v>
      </c>
    </row>
    <row r="19" spans="1:9">
      <c r="A19" t="s">
        <v>7</v>
      </c>
      <c r="B19" t="s">
        <v>8</v>
      </c>
      <c r="C19" t="s">
        <v>27</v>
      </c>
      <c r="D19" t="s">
        <v>10</v>
      </c>
      <c r="E19" t="s">
        <v>11</v>
      </c>
      <c r="F19">
        <v>15245</v>
      </c>
      <c r="G19">
        <v>17168</v>
      </c>
    </row>
    <row r="20" spans="1:9">
      <c r="A20" t="s">
        <v>7</v>
      </c>
      <c r="B20" t="s">
        <v>8</v>
      </c>
      <c r="C20" t="s">
        <v>21</v>
      </c>
      <c r="D20" t="s">
        <v>10</v>
      </c>
      <c r="E20" t="s">
        <v>14</v>
      </c>
      <c r="F20">
        <v>14737</v>
      </c>
      <c r="G20">
        <v>16097</v>
      </c>
    </row>
    <row r="21" spans="1:9">
      <c r="A21" t="s">
        <v>7</v>
      </c>
      <c r="B21" t="s">
        <v>8</v>
      </c>
      <c r="C21" t="s">
        <v>20</v>
      </c>
      <c r="D21" t="s">
        <v>10</v>
      </c>
      <c r="E21" t="s">
        <v>11</v>
      </c>
      <c r="F21">
        <v>15857</v>
      </c>
      <c r="G21">
        <v>21266</v>
      </c>
    </row>
    <row r="22" spans="1:9">
      <c r="A22" t="s">
        <v>7</v>
      </c>
      <c r="B22" t="s">
        <v>8</v>
      </c>
      <c r="C22" t="s">
        <v>23</v>
      </c>
      <c r="D22" t="s">
        <v>10</v>
      </c>
      <c r="E22" t="s">
        <v>14</v>
      </c>
      <c r="F22">
        <v>21358</v>
      </c>
      <c r="G22">
        <v>28998</v>
      </c>
    </row>
    <row r="23" spans="1:9">
      <c r="A23" t="s">
        <v>7</v>
      </c>
      <c r="B23" t="s">
        <v>8</v>
      </c>
      <c r="C23" t="s">
        <v>22</v>
      </c>
      <c r="D23" t="s">
        <v>10</v>
      </c>
      <c r="E23" t="s">
        <v>11</v>
      </c>
      <c r="F23">
        <v>18589</v>
      </c>
      <c r="G23">
        <v>22943</v>
      </c>
      <c r="I23" t="s">
        <v>57</v>
      </c>
    </row>
    <row r="24" spans="1:9">
      <c r="A24" t="s">
        <v>7</v>
      </c>
      <c r="B24" t="s">
        <v>8</v>
      </c>
      <c r="C24" t="s">
        <v>27</v>
      </c>
      <c r="D24" t="s">
        <v>10</v>
      </c>
      <c r="E24" t="s">
        <v>14</v>
      </c>
      <c r="F24">
        <v>22534</v>
      </c>
      <c r="G24">
        <v>22962</v>
      </c>
    </row>
    <row r="25" spans="1:9">
      <c r="A25" t="s">
        <v>7</v>
      </c>
      <c r="B25" t="s">
        <v>8</v>
      </c>
      <c r="C25" t="s">
        <v>28</v>
      </c>
      <c r="D25" t="s">
        <v>10</v>
      </c>
      <c r="E25" t="s">
        <v>11</v>
      </c>
      <c r="F25">
        <v>17670</v>
      </c>
      <c r="G25">
        <v>20911</v>
      </c>
    </row>
    <row r="26" spans="1:9">
      <c r="A26" t="s">
        <v>7</v>
      </c>
      <c r="B26" t="s">
        <v>8</v>
      </c>
      <c r="C26" t="s">
        <v>29</v>
      </c>
      <c r="D26" t="s">
        <v>10</v>
      </c>
      <c r="E26" t="s">
        <v>14</v>
      </c>
      <c r="F26">
        <v>35748</v>
      </c>
      <c r="G26">
        <v>40485</v>
      </c>
    </row>
    <row r="27" spans="1:9">
      <c r="A27" t="s">
        <v>7</v>
      </c>
      <c r="B27" t="s">
        <v>8</v>
      </c>
      <c r="C27" t="s">
        <v>26</v>
      </c>
      <c r="D27" t="s">
        <v>10</v>
      </c>
      <c r="E27" t="s">
        <v>14</v>
      </c>
      <c r="F27">
        <v>25776</v>
      </c>
      <c r="G27">
        <v>31192</v>
      </c>
    </row>
    <row r="28" spans="1:9">
      <c r="A28" t="s">
        <v>7</v>
      </c>
      <c r="B28" t="s">
        <v>8</v>
      </c>
      <c r="C28" t="s">
        <v>24</v>
      </c>
      <c r="D28" t="s">
        <v>10</v>
      </c>
      <c r="E28" t="s">
        <v>14</v>
      </c>
      <c r="F28">
        <v>20618</v>
      </c>
      <c r="G28">
        <v>30567</v>
      </c>
    </row>
    <row r="29" spans="1:9">
      <c r="A29" t="s">
        <v>7</v>
      </c>
      <c r="B29" t="s">
        <v>8</v>
      </c>
      <c r="C29" t="s">
        <v>30</v>
      </c>
      <c r="D29" t="s">
        <v>10</v>
      </c>
      <c r="E29" t="s">
        <v>14</v>
      </c>
      <c r="F29">
        <v>18751</v>
      </c>
      <c r="G29">
        <v>25279</v>
      </c>
    </row>
    <row r="30" spans="1:9">
      <c r="A30" t="s">
        <v>7</v>
      </c>
      <c r="B30" t="s">
        <v>8</v>
      </c>
      <c r="C30" t="s">
        <v>25</v>
      </c>
      <c r="D30" t="s">
        <v>10</v>
      </c>
      <c r="E30" t="s">
        <v>11</v>
      </c>
      <c r="F30">
        <v>20124</v>
      </c>
      <c r="G30">
        <v>24379</v>
      </c>
    </row>
    <row r="31" spans="1:9">
      <c r="A31" t="s">
        <v>7</v>
      </c>
      <c r="B31" t="s">
        <v>8</v>
      </c>
      <c r="C31" t="s">
        <v>13</v>
      </c>
      <c r="D31" t="s">
        <v>10</v>
      </c>
      <c r="E31" t="s">
        <v>11</v>
      </c>
      <c r="F31">
        <v>27245</v>
      </c>
      <c r="G31">
        <v>34149</v>
      </c>
    </row>
    <row r="32" spans="1:9">
      <c r="A32" t="s">
        <v>7</v>
      </c>
      <c r="B32" t="s">
        <v>8</v>
      </c>
      <c r="C32" t="s">
        <v>12</v>
      </c>
      <c r="D32" t="s">
        <v>10</v>
      </c>
      <c r="E32" t="s">
        <v>14</v>
      </c>
      <c r="F32">
        <v>14717</v>
      </c>
      <c r="G32">
        <v>16242</v>
      </c>
    </row>
    <row r="33" spans="1:7">
      <c r="A33" t="s">
        <v>7</v>
      </c>
      <c r="B33" t="s">
        <v>8</v>
      </c>
      <c r="C33" t="s">
        <v>18</v>
      </c>
      <c r="D33" t="s">
        <v>10</v>
      </c>
      <c r="E33" t="s">
        <v>11</v>
      </c>
      <c r="F33">
        <v>37259</v>
      </c>
      <c r="G33">
        <v>45460</v>
      </c>
    </row>
    <row r="34" spans="1:7">
      <c r="A34" t="s">
        <v>7</v>
      </c>
      <c r="B34" t="s">
        <v>8</v>
      </c>
      <c r="C34" t="s">
        <v>30</v>
      </c>
      <c r="D34" t="s">
        <v>10</v>
      </c>
      <c r="E34" t="s">
        <v>11</v>
      </c>
      <c r="F34">
        <v>15386</v>
      </c>
      <c r="G34">
        <v>20846</v>
      </c>
    </row>
    <row r="35" spans="1:7">
      <c r="A35" t="s">
        <v>7</v>
      </c>
      <c r="B35" t="s">
        <v>8</v>
      </c>
      <c r="C35" t="s">
        <v>19</v>
      </c>
      <c r="D35" t="s">
        <v>10</v>
      </c>
      <c r="E35" t="s">
        <v>14</v>
      </c>
      <c r="F35">
        <v>47418</v>
      </c>
      <c r="G35">
        <v>53262</v>
      </c>
    </row>
    <row r="36" spans="1:7">
      <c r="A36" t="s">
        <v>7</v>
      </c>
      <c r="B36" t="s">
        <v>8</v>
      </c>
      <c r="C36" t="s">
        <v>15</v>
      </c>
      <c r="D36" t="s">
        <v>10</v>
      </c>
      <c r="E36" t="s">
        <v>14</v>
      </c>
      <c r="F36">
        <v>25877</v>
      </c>
      <c r="G36">
        <v>25761</v>
      </c>
    </row>
    <row r="37" spans="1:7">
      <c r="A37" t="s">
        <v>7</v>
      </c>
      <c r="B37" t="s">
        <v>8</v>
      </c>
      <c r="C37" t="s">
        <v>29</v>
      </c>
      <c r="D37" t="s">
        <v>10</v>
      </c>
      <c r="E37" t="s">
        <v>11</v>
      </c>
      <c r="F37">
        <v>14781</v>
      </c>
      <c r="G37">
        <v>18369</v>
      </c>
    </row>
    <row r="38" spans="1:7">
      <c r="A38" t="s">
        <v>7</v>
      </c>
      <c r="B38" t="s">
        <v>8</v>
      </c>
      <c r="C38" t="s">
        <v>28</v>
      </c>
      <c r="D38" t="s">
        <v>10</v>
      </c>
      <c r="E38" t="s">
        <v>14</v>
      </c>
      <c r="F38">
        <v>20005</v>
      </c>
      <c r="G38">
        <v>23899</v>
      </c>
    </row>
    <row r="39" spans="1:7">
      <c r="A39" t="s">
        <v>7</v>
      </c>
      <c r="B39" t="s">
        <v>8</v>
      </c>
      <c r="C39" t="s">
        <v>31</v>
      </c>
      <c r="D39" t="s">
        <v>10</v>
      </c>
      <c r="E39" t="s">
        <v>11</v>
      </c>
      <c r="F39">
        <v>19621</v>
      </c>
      <c r="G39">
        <v>24025</v>
      </c>
    </row>
    <row r="40" spans="1:7">
      <c r="A40" t="s">
        <v>7</v>
      </c>
      <c r="B40" t="s">
        <v>8</v>
      </c>
      <c r="C40" t="s">
        <v>32</v>
      </c>
      <c r="D40" t="s">
        <v>10</v>
      </c>
      <c r="E40" t="s">
        <v>14</v>
      </c>
      <c r="F40">
        <v>29354</v>
      </c>
      <c r="G40">
        <v>35960</v>
      </c>
    </row>
    <row r="41" spans="1:7">
      <c r="A41" t="s">
        <v>7</v>
      </c>
      <c r="B41" t="s">
        <v>8</v>
      </c>
      <c r="C41" t="s">
        <v>33</v>
      </c>
      <c r="D41" t="s">
        <v>10</v>
      </c>
      <c r="E41" t="s">
        <v>14</v>
      </c>
      <c r="F41">
        <v>23088</v>
      </c>
      <c r="G41">
        <v>27634</v>
      </c>
    </row>
    <row r="42" spans="1:7">
      <c r="A42" t="s">
        <v>7</v>
      </c>
      <c r="B42" t="s">
        <v>8</v>
      </c>
      <c r="C42" t="s">
        <v>34</v>
      </c>
      <c r="D42" t="s">
        <v>10</v>
      </c>
      <c r="E42" t="s">
        <v>11</v>
      </c>
      <c r="F42">
        <v>14926</v>
      </c>
      <c r="G42">
        <v>17731</v>
      </c>
    </row>
    <row r="43" spans="1:7">
      <c r="A43" t="s">
        <v>7</v>
      </c>
      <c r="B43" t="s">
        <v>8</v>
      </c>
      <c r="C43" t="s">
        <v>35</v>
      </c>
      <c r="D43" t="s">
        <v>10</v>
      </c>
      <c r="E43" t="s">
        <v>11</v>
      </c>
      <c r="F43">
        <v>36088</v>
      </c>
      <c r="G43">
        <v>45707</v>
      </c>
    </row>
    <row r="44" spans="1:7">
      <c r="A44" t="s">
        <v>7</v>
      </c>
      <c r="B44" t="s">
        <v>8</v>
      </c>
      <c r="C44" t="s">
        <v>36</v>
      </c>
      <c r="D44" t="s">
        <v>10</v>
      </c>
      <c r="E44" t="s">
        <v>14</v>
      </c>
      <c r="F44">
        <v>21343</v>
      </c>
      <c r="G44">
        <v>27559</v>
      </c>
    </row>
    <row r="45" spans="1:7">
      <c r="A45" t="s">
        <v>7</v>
      </c>
      <c r="B45" t="s">
        <v>8</v>
      </c>
      <c r="C45" t="s">
        <v>37</v>
      </c>
      <c r="D45" t="s">
        <v>10</v>
      </c>
      <c r="E45" t="s">
        <v>14</v>
      </c>
      <c r="F45">
        <v>20910</v>
      </c>
      <c r="G45">
        <v>24019</v>
      </c>
    </row>
    <row r="46" spans="1:7">
      <c r="A46" t="s">
        <v>7</v>
      </c>
      <c r="B46" t="s">
        <v>8</v>
      </c>
      <c r="C46" t="s">
        <v>38</v>
      </c>
      <c r="D46" t="s">
        <v>10</v>
      </c>
      <c r="E46" t="s">
        <v>14</v>
      </c>
      <c r="F46">
        <v>24617</v>
      </c>
      <c r="G46">
        <v>31276</v>
      </c>
    </row>
    <row r="47" spans="1:7">
      <c r="A47" t="s">
        <v>7</v>
      </c>
      <c r="B47" t="s">
        <v>8</v>
      </c>
      <c r="C47" t="s">
        <v>39</v>
      </c>
      <c r="D47" t="s">
        <v>10</v>
      </c>
      <c r="E47" t="s">
        <v>14</v>
      </c>
      <c r="F47">
        <v>16872</v>
      </c>
      <c r="G47">
        <v>20899</v>
      </c>
    </row>
    <row r="48" spans="1:7">
      <c r="A48" t="s">
        <v>7</v>
      </c>
      <c r="B48" t="s">
        <v>8</v>
      </c>
      <c r="C48" t="s">
        <v>40</v>
      </c>
      <c r="D48" t="s">
        <v>10</v>
      </c>
      <c r="E48" t="s">
        <v>11</v>
      </c>
      <c r="F48">
        <v>14889</v>
      </c>
      <c r="G48">
        <v>17662</v>
      </c>
    </row>
    <row r="49" spans="1:7">
      <c r="A49" t="s">
        <v>7</v>
      </c>
      <c r="B49" t="s">
        <v>8</v>
      </c>
      <c r="C49" t="s">
        <v>41</v>
      </c>
      <c r="D49" t="s">
        <v>10</v>
      </c>
      <c r="E49" t="s">
        <v>14</v>
      </c>
      <c r="F49">
        <v>31321</v>
      </c>
      <c r="G49">
        <v>39065</v>
      </c>
    </row>
    <row r="50" spans="1:7">
      <c r="A50" t="s">
        <v>7</v>
      </c>
      <c r="B50" t="s">
        <v>8</v>
      </c>
      <c r="C50" t="s">
        <v>42</v>
      </c>
      <c r="D50" t="s">
        <v>10</v>
      </c>
      <c r="E50" t="s">
        <v>11</v>
      </c>
      <c r="F50">
        <v>20624</v>
      </c>
      <c r="G50">
        <v>26507</v>
      </c>
    </row>
    <row r="51" spans="1:7">
      <c r="A51" t="s">
        <v>7</v>
      </c>
      <c r="B51" t="s">
        <v>8</v>
      </c>
      <c r="C51" t="s">
        <v>35</v>
      </c>
      <c r="D51" t="s">
        <v>10</v>
      </c>
      <c r="E51" t="s">
        <v>14</v>
      </c>
      <c r="F51">
        <v>51244</v>
      </c>
      <c r="G51">
        <v>69513</v>
      </c>
    </row>
    <row r="52" spans="1:7">
      <c r="A52" t="s">
        <v>7</v>
      </c>
      <c r="B52" t="s">
        <v>8</v>
      </c>
      <c r="C52" t="s">
        <v>43</v>
      </c>
      <c r="D52" t="s">
        <v>10</v>
      </c>
      <c r="E52" t="s">
        <v>11</v>
      </c>
      <c r="F52">
        <v>18424</v>
      </c>
      <c r="G52">
        <v>22595</v>
      </c>
    </row>
    <row r="53" spans="1:7">
      <c r="A53" t="s">
        <v>7</v>
      </c>
      <c r="B53" t="s">
        <v>8</v>
      </c>
      <c r="C53" t="s">
        <v>44</v>
      </c>
      <c r="D53" t="s">
        <v>10</v>
      </c>
      <c r="E53" t="s">
        <v>11</v>
      </c>
      <c r="F53">
        <v>15595</v>
      </c>
      <c r="G53">
        <v>17751</v>
      </c>
    </row>
    <row r="54" spans="1:7">
      <c r="A54" t="s">
        <v>7</v>
      </c>
      <c r="B54" t="s">
        <v>8</v>
      </c>
      <c r="C54" t="s">
        <v>37</v>
      </c>
      <c r="D54" t="s">
        <v>10</v>
      </c>
      <c r="E54" t="s">
        <v>11</v>
      </c>
      <c r="F54">
        <v>17910</v>
      </c>
      <c r="G54">
        <v>21857</v>
      </c>
    </row>
    <row r="55" spans="1:7">
      <c r="A55" t="s">
        <v>7</v>
      </c>
      <c r="B55" t="s">
        <v>8</v>
      </c>
      <c r="C55" t="s">
        <v>45</v>
      </c>
      <c r="D55" t="s">
        <v>10</v>
      </c>
      <c r="E55" t="s">
        <v>11</v>
      </c>
      <c r="F55">
        <v>16952</v>
      </c>
      <c r="G55">
        <v>21031</v>
      </c>
    </row>
    <row r="56" spans="1:7">
      <c r="A56" t="s">
        <v>7</v>
      </c>
      <c r="B56" t="s">
        <v>8</v>
      </c>
      <c r="C56" t="s">
        <v>46</v>
      </c>
      <c r="D56" t="s">
        <v>10</v>
      </c>
      <c r="E56" t="s">
        <v>14</v>
      </c>
      <c r="F56">
        <v>20468</v>
      </c>
      <c r="G56">
        <v>25570</v>
      </c>
    </row>
    <row r="57" spans="1:7">
      <c r="A57" t="s">
        <v>7</v>
      </c>
      <c r="B57" t="s">
        <v>8</v>
      </c>
      <c r="C57" t="s">
        <v>47</v>
      </c>
      <c r="D57" t="s">
        <v>10</v>
      </c>
      <c r="E57" t="s">
        <v>11</v>
      </c>
      <c r="F57">
        <v>22419</v>
      </c>
      <c r="G57">
        <v>26608</v>
      </c>
    </row>
    <row r="58" spans="1:7">
      <c r="A58" t="s">
        <v>7</v>
      </c>
      <c r="B58" t="s">
        <v>8</v>
      </c>
      <c r="C58" t="s">
        <v>36</v>
      </c>
      <c r="D58" t="s">
        <v>10</v>
      </c>
      <c r="E58" t="s">
        <v>11</v>
      </c>
      <c r="F58">
        <v>17593</v>
      </c>
      <c r="G58">
        <v>21865</v>
      </c>
    </row>
    <row r="59" spans="1:7">
      <c r="A59" t="s">
        <v>7</v>
      </c>
      <c r="B59" t="s">
        <v>8</v>
      </c>
      <c r="C59" t="s">
        <v>39</v>
      </c>
      <c r="D59" t="s">
        <v>10</v>
      </c>
      <c r="E59" t="s">
        <v>11</v>
      </c>
      <c r="F59">
        <v>13793</v>
      </c>
      <c r="G59">
        <v>16281</v>
      </c>
    </row>
    <row r="60" spans="1:7">
      <c r="A60" t="s">
        <v>7</v>
      </c>
      <c r="B60" t="s">
        <v>8</v>
      </c>
      <c r="C60" t="s">
        <v>34</v>
      </c>
      <c r="D60" t="s">
        <v>10</v>
      </c>
      <c r="E60" t="s">
        <v>14</v>
      </c>
      <c r="F60">
        <v>17466</v>
      </c>
      <c r="G60">
        <v>23478</v>
      </c>
    </row>
    <row r="61" spans="1:7">
      <c r="A61" t="s">
        <v>7</v>
      </c>
      <c r="B61" t="s">
        <v>8</v>
      </c>
      <c r="C61" t="s">
        <v>42</v>
      </c>
      <c r="D61" t="s">
        <v>10</v>
      </c>
      <c r="E61" t="s">
        <v>14</v>
      </c>
      <c r="F61">
        <v>29212</v>
      </c>
      <c r="G61">
        <v>39456</v>
      </c>
    </row>
    <row r="62" spans="1:7">
      <c r="A62" t="s">
        <v>7</v>
      </c>
      <c r="B62" t="s">
        <v>8</v>
      </c>
      <c r="C62" t="s">
        <v>48</v>
      </c>
      <c r="D62" t="s">
        <v>10</v>
      </c>
      <c r="E62" t="s">
        <v>14</v>
      </c>
      <c r="F62">
        <v>62339</v>
      </c>
      <c r="G62">
        <v>77807</v>
      </c>
    </row>
    <row r="63" spans="1:7">
      <c r="A63" t="s">
        <v>7</v>
      </c>
      <c r="B63" t="s">
        <v>8</v>
      </c>
      <c r="C63" t="s">
        <v>33</v>
      </c>
      <c r="D63" t="s">
        <v>10</v>
      </c>
      <c r="E63" t="s">
        <v>11</v>
      </c>
      <c r="F63">
        <v>18854</v>
      </c>
      <c r="G63">
        <v>22564</v>
      </c>
    </row>
    <row r="64" spans="1:7">
      <c r="A64" t="s">
        <v>7</v>
      </c>
      <c r="B64" t="s">
        <v>8</v>
      </c>
      <c r="C64" t="s">
        <v>45</v>
      </c>
      <c r="D64" t="s">
        <v>10</v>
      </c>
      <c r="E64" t="s">
        <v>14</v>
      </c>
      <c r="F64">
        <v>22916</v>
      </c>
      <c r="G64">
        <v>28294</v>
      </c>
    </row>
    <row r="65" spans="1:7">
      <c r="A65" t="s">
        <v>7</v>
      </c>
      <c r="B65" t="s">
        <v>8</v>
      </c>
      <c r="C65" t="s">
        <v>47</v>
      </c>
      <c r="D65" t="s">
        <v>10</v>
      </c>
      <c r="E65" t="s">
        <v>14</v>
      </c>
      <c r="F65">
        <v>27226</v>
      </c>
      <c r="G65">
        <v>32949</v>
      </c>
    </row>
    <row r="66" spans="1:7">
      <c r="A66" t="s">
        <v>7</v>
      </c>
      <c r="B66" t="s">
        <v>8</v>
      </c>
      <c r="C66" t="s">
        <v>32</v>
      </c>
      <c r="D66" t="s">
        <v>10</v>
      </c>
      <c r="E66" t="s">
        <v>11</v>
      </c>
      <c r="F66">
        <v>24620</v>
      </c>
      <c r="G66">
        <v>29938</v>
      </c>
    </row>
    <row r="67" spans="1:7">
      <c r="A67" t="s">
        <v>7</v>
      </c>
      <c r="B67" t="s">
        <v>8</v>
      </c>
      <c r="C67" t="s">
        <v>43</v>
      </c>
      <c r="D67" t="s">
        <v>10</v>
      </c>
      <c r="E67" t="s">
        <v>14</v>
      </c>
      <c r="F67">
        <v>24089</v>
      </c>
      <c r="G67">
        <v>29475</v>
      </c>
    </row>
    <row r="68" spans="1:7">
      <c r="A68" t="s">
        <v>7</v>
      </c>
      <c r="B68" t="s">
        <v>8</v>
      </c>
      <c r="C68" t="s">
        <v>31</v>
      </c>
      <c r="D68" t="s">
        <v>10</v>
      </c>
      <c r="E68" t="s">
        <v>14</v>
      </c>
      <c r="F68">
        <v>25586</v>
      </c>
      <c r="G68">
        <v>31689</v>
      </c>
    </row>
    <row r="69" spans="1:7">
      <c r="A69" t="s">
        <v>7</v>
      </c>
      <c r="B69" t="s">
        <v>8</v>
      </c>
      <c r="C69" t="s">
        <v>46</v>
      </c>
      <c r="D69" t="s">
        <v>10</v>
      </c>
      <c r="E69" t="s">
        <v>11</v>
      </c>
      <c r="F69">
        <v>17401</v>
      </c>
      <c r="G69">
        <v>20867</v>
      </c>
    </row>
    <row r="70" spans="1:7">
      <c r="A70" t="s">
        <v>7</v>
      </c>
      <c r="B70" t="s">
        <v>8</v>
      </c>
      <c r="C70" t="s">
        <v>44</v>
      </c>
      <c r="D70" t="s">
        <v>10</v>
      </c>
      <c r="E70" t="s">
        <v>14</v>
      </c>
      <c r="F70">
        <v>17567</v>
      </c>
      <c r="G70">
        <v>19971</v>
      </c>
    </row>
    <row r="71" spans="1:7">
      <c r="A71" t="s">
        <v>7</v>
      </c>
      <c r="B71" t="s">
        <v>8</v>
      </c>
      <c r="C71" t="s">
        <v>40</v>
      </c>
      <c r="D71" t="s">
        <v>10</v>
      </c>
      <c r="E71" t="s">
        <v>14</v>
      </c>
      <c r="F71">
        <v>17662</v>
      </c>
      <c r="G71">
        <v>23082</v>
      </c>
    </row>
    <row r="72" spans="1:7">
      <c r="A72" t="s">
        <v>7</v>
      </c>
      <c r="B72" t="s">
        <v>8</v>
      </c>
      <c r="C72" t="s">
        <v>41</v>
      </c>
      <c r="D72" t="s">
        <v>10</v>
      </c>
      <c r="E72" t="s">
        <v>11</v>
      </c>
      <c r="F72">
        <v>20483</v>
      </c>
      <c r="G72">
        <v>25101</v>
      </c>
    </row>
    <row r="73" spans="1:7">
      <c r="A73" t="s">
        <v>7</v>
      </c>
      <c r="B73" t="s">
        <v>8</v>
      </c>
      <c r="C73" t="s">
        <v>48</v>
      </c>
      <c r="D73" t="s">
        <v>10</v>
      </c>
      <c r="E73" t="s">
        <v>11</v>
      </c>
      <c r="F73">
        <v>40245</v>
      </c>
      <c r="G73">
        <v>49268</v>
      </c>
    </row>
    <row r="74" spans="1:7">
      <c r="A74" t="s">
        <v>7</v>
      </c>
      <c r="B74" t="s">
        <v>8</v>
      </c>
      <c r="C74" t="s">
        <v>38</v>
      </c>
      <c r="D74" t="s">
        <v>10</v>
      </c>
      <c r="E74" t="s">
        <v>11</v>
      </c>
      <c r="F74">
        <v>19047</v>
      </c>
      <c r="G74">
        <v>23555</v>
      </c>
    </row>
    <row r="75" spans="1:7">
      <c r="A75" t="s">
        <v>7</v>
      </c>
      <c r="B75" t="s">
        <v>8</v>
      </c>
      <c r="C75" t="s">
        <v>17</v>
      </c>
      <c r="D75" t="s">
        <v>10</v>
      </c>
      <c r="E75" t="s">
        <v>14</v>
      </c>
      <c r="F75">
        <v>30427</v>
      </c>
      <c r="G75">
        <v>36022</v>
      </c>
    </row>
    <row r="76" spans="1:7">
      <c r="A76" t="s">
        <v>7</v>
      </c>
      <c r="B76" t="s">
        <v>8</v>
      </c>
      <c r="C76" t="s">
        <v>49</v>
      </c>
      <c r="D76" t="s">
        <v>10</v>
      </c>
      <c r="E76" t="s">
        <v>11</v>
      </c>
      <c r="F76">
        <v>13156</v>
      </c>
      <c r="G76">
        <v>14484</v>
      </c>
    </row>
    <row r="77" spans="1:7">
      <c r="A77" t="s">
        <v>7</v>
      </c>
      <c r="B77" t="s">
        <v>8</v>
      </c>
      <c r="C77" t="s">
        <v>50</v>
      </c>
      <c r="D77" t="s">
        <v>10</v>
      </c>
      <c r="E77" t="s">
        <v>14</v>
      </c>
      <c r="F77">
        <v>24005</v>
      </c>
      <c r="G77">
        <v>28408</v>
      </c>
    </row>
    <row r="78" spans="1:7">
      <c r="A78" t="s">
        <v>7</v>
      </c>
      <c r="B78" t="s">
        <v>8</v>
      </c>
      <c r="C78" t="s">
        <v>51</v>
      </c>
      <c r="D78" t="s">
        <v>10</v>
      </c>
      <c r="E78" t="s">
        <v>11</v>
      </c>
      <c r="F78">
        <v>28000</v>
      </c>
      <c r="G78">
        <v>32230</v>
      </c>
    </row>
    <row r="79" spans="1:7">
      <c r="A79" t="s">
        <v>7</v>
      </c>
      <c r="B79" t="s">
        <v>8</v>
      </c>
      <c r="C79" t="s">
        <v>49</v>
      </c>
      <c r="D79" t="s">
        <v>10</v>
      </c>
      <c r="E79" t="s">
        <v>14</v>
      </c>
      <c r="F79">
        <v>21545</v>
      </c>
      <c r="G79">
        <v>25411</v>
      </c>
    </row>
    <row r="80" spans="1:7">
      <c r="A80" t="s">
        <v>7</v>
      </c>
      <c r="B80" t="s">
        <v>8</v>
      </c>
      <c r="C80" t="s">
        <v>50</v>
      </c>
      <c r="D80" t="s">
        <v>10</v>
      </c>
      <c r="E80" t="s">
        <v>11</v>
      </c>
      <c r="F80">
        <v>26988</v>
      </c>
      <c r="G80">
        <v>30524</v>
      </c>
    </row>
    <row r="81" spans="1:7">
      <c r="A81" t="s">
        <v>7</v>
      </c>
      <c r="B81" t="s">
        <v>8</v>
      </c>
      <c r="C81" t="s">
        <v>51</v>
      </c>
      <c r="D81" t="s">
        <v>10</v>
      </c>
      <c r="E81" t="s">
        <v>14</v>
      </c>
      <c r="F81">
        <v>31336</v>
      </c>
      <c r="G81">
        <v>34996</v>
      </c>
    </row>
    <row r="82" spans="1:7">
      <c r="A82" t="s">
        <v>7</v>
      </c>
      <c r="B82" t="s">
        <v>8</v>
      </c>
      <c r="C82" t="s">
        <v>52</v>
      </c>
      <c r="D82" t="s">
        <v>10</v>
      </c>
      <c r="E82" t="s">
        <v>11</v>
      </c>
      <c r="F82">
        <v>14469</v>
      </c>
      <c r="G82">
        <v>16033</v>
      </c>
    </row>
    <row r="83" spans="1:7">
      <c r="A83" t="s">
        <v>7</v>
      </c>
      <c r="B83" t="s">
        <v>8</v>
      </c>
      <c r="C83" t="s">
        <v>53</v>
      </c>
      <c r="D83" t="s">
        <v>10</v>
      </c>
      <c r="E83" t="s">
        <v>14</v>
      </c>
      <c r="F83">
        <v>18591</v>
      </c>
      <c r="G83">
        <v>20885</v>
      </c>
    </row>
    <row r="84" spans="1:7">
      <c r="A84" t="s">
        <v>7</v>
      </c>
      <c r="B84" t="s">
        <v>8</v>
      </c>
      <c r="C84" t="s">
        <v>54</v>
      </c>
      <c r="D84" t="s">
        <v>10</v>
      </c>
      <c r="E84" t="s">
        <v>11</v>
      </c>
      <c r="F84">
        <v>18876</v>
      </c>
      <c r="G84">
        <v>22223</v>
      </c>
    </row>
    <row r="85" spans="1:7">
      <c r="A85" t="s">
        <v>7</v>
      </c>
      <c r="B85" t="s">
        <v>8</v>
      </c>
      <c r="C85" t="s">
        <v>55</v>
      </c>
      <c r="D85" t="s">
        <v>10</v>
      </c>
      <c r="E85" t="s">
        <v>14</v>
      </c>
      <c r="F85">
        <v>18021</v>
      </c>
      <c r="G85">
        <v>20935</v>
      </c>
    </row>
    <row r="86" spans="1:7">
      <c r="A86" t="s">
        <v>7</v>
      </c>
      <c r="B86" t="s">
        <v>8</v>
      </c>
      <c r="C86" t="s">
        <v>56</v>
      </c>
      <c r="D86" t="s">
        <v>10</v>
      </c>
      <c r="E86" t="s">
        <v>11</v>
      </c>
      <c r="F86">
        <v>26198</v>
      </c>
      <c r="G86">
        <v>31477</v>
      </c>
    </row>
    <row r="87" spans="1:7">
      <c r="A87" t="s">
        <v>7</v>
      </c>
      <c r="B87" t="s">
        <v>8</v>
      </c>
      <c r="C87" t="s">
        <v>53</v>
      </c>
      <c r="D87" t="s">
        <v>10</v>
      </c>
      <c r="E87" t="s">
        <v>11</v>
      </c>
      <c r="F87">
        <v>16452</v>
      </c>
      <c r="G87">
        <v>18036</v>
      </c>
    </row>
    <row r="88" spans="1:7">
      <c r="A88" t="s">
        <v>7</v>
      </c>
      <c r="B88" t="s">
        <v>8</v>
      </c>
      <c r="C88" t="s">
        <v>52</v>
      </c>
      <c r="D88" t="s">
        <v>10</v>
      </c>
      <c r="E88" t="s">
        <v>14</v>
      </c>
      <c r="F88">
        <v>15003</v>
      </c>
      <c r="G88">
        <v>16382</v>
      </c>
    </row>
    <row r="89" spans="1:7">
      <c r="A89" t="s">
        <v>7</v>
      </c>
      <c r="B89" t="s">
        <v>8</v>
      </c>
      <c r="C89" t="s">
        <v>54</v>
      </c>
      <c r="D89" t="s">
        <v>10</v>
      </c>
      <c r="E89" t="s">
        <v>14</v>
      </c>
      <c r="F89">
        <v>24850</v>
      </c>
      <c r="G89">
        <v>30593</v>
      </c>
    </row>
    <row r="90" spans="1:7">
      <c r="A90" t="s">
        <v>7</v>
      </c>
      <c r="B90" t="s">
        <v>8</v>
      </c>
      <c r="C90" t="s">
        <v>55</v>
      </c>
      <c r="D90" t="s">
        <v>10</v>
      </c>
      <c r="E90" t="s">
        <v>11</v>
      </c>
      <c r="F90">
        <v>16856</v>
      </c>
      <c r="G90">
        <v>18900</v>
      </c>
    </row>
    <row r="91" spans="1:7">
      <c r="A91" t="s">
        <v>7</v>
      </c>
      <c r="B91" t="s">
        <v>8</v>
      </c>
      <c r="C91" t="s">
        <v>56</v>
      </c>
      <c r="D91" t="s">
        <v>10</v>
      </c>
      <c r="E91" t="s">
        <v>14</v>
      </c>
      <c r="F91">
        <v>32532</v>
      </c>
      <c r="G91">
        <v>36875</v>
      </c>
    </row>
  </sheetData>
  <autoFilter ref="A1:G9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Аналіз</vt:lpstr>
      <vt:lpstr>t-test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Валерія</cp:lastModifiedBy>
  <cp:lastPrinted>2026-09-30T08:00:46Z</cp:lastPrinted>
  <dcterms:created xsi:type="dcterms:W3CDTF">2026-09-30T07:57:01Z</dcterms:created>
  <dcterms:modified xsi:type="dcterms:W3CDTF">2026-10-27T15:18:29Z</dcterms:modified>
</cp:coreProperties>
</file>